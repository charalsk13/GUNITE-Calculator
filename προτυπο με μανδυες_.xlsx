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G:\Athens_Gunite\Phi\04 STEEL ORDERS\ΠΡΟΤΥΠΑ\"/>
    </mc:Choice>
  </mc:AlternateContent>
  <xr:revisionPtr revIDLastSave="0" documentId="13_ncr:1_{A0826ED6-7B14-4A8C-A14E-84FD323D1D23}" xr6:coauthVersionLast="36" xr6:coauthVersionMax="36" xr10:uidLastSave="{00000000-0000-0000-0000-000000000000}"/>
  <bookViews>
    <workbookView xWindow="0" yWindow="0" windowWidth="28800" windowHeight="12075" tabRatio="500" activeTab="1" xr2:uid="{00000000-000D-0000-FFFF-FFFF00000000}"/>
  </bookViews>
  <sheets>
    <sheet name="1" sheetId="1" r:id="rId1"/>
    <sheet name="ΜΑΝΔΥΕΣ" sheetId="2" r:id="rId2"/>
  </sheets>
  <calcPr calcId="191029"/>
</workbook>
</file>

<file path=xl/calcChain.xml><?xml version="1.0" encoding="utf-8"?>
<calcChain xmlns="http://schemas.openxmlformats.org/spreadsheetml/2006/main">
  <c r="P27" i="1" l="1"/>
  <c r="D27" i="1"/>
  <c r="Q23" i="1" l="1"/>
  <c r="Q22" i="1"/>
  <c r="F20" i="1"/>
  <c r="D20" i="1" s="1"/>
  <c r="P20" i="1" s="1"/>
  <c r="F13" i="1"/>
  <c r="Q16" i="1" s="1"/>
  <c r="F27" i="1"/>
  <c r="A24" i="1"/>
  <c r="D13" i="1" l="1"/>
  <c r="P13" i="1" s="1"/>
  <c r="P4" i="1" s="1"/>
  <c r="Q15" i="1"/>
</calcChain>
</file>

<file path=xl/sharedStrings.xml><?xml version="1.0" encoding="utf-8"?>
<sst xmlns="http://schemas.openxmlformats.org/spreadsheetml/2006/main" count="1129" uniqueCount="455">
  <si>
    <t>ΕΡΓΟ: Φ</t>
  </si>
  <si>
    <t xml:space="preserve">ΘΕΣΗ: ΦΑΛΗΡΟΥ 22 </t>
  </si>
  <si>
    <t>Σύνολο kg Παραγγελίας:</t>
  </si>
  <si>
    <t>KG</t>
  </si>
  <si>
    <t>ΕΥΘΥΓΡΑΜΜΑ</t>
  </si>
  <si>
    <t>A/A</t>
  </si>
  <si>
    <t>ΚΑΡΤΕΛΑΚΙ</t>
  </si>
  <si>
    <t>Διατομή</t>
  </si>
  <si>
    <t>kg/m</t>
  </si>
  <si>
    <t>Τεμ</t>
  </si>
  <si>
    <t>Lsum</t>
  </si>
  <si>
    <t>Διαστάσεις</t>
  </si>
  <si>
    <t>Βάρος</t>
  </si>
  <si>
    <t xml:space="preserve"> ΝΚ86</t>
  </si>
  <si>
    <t>Μάνδυας</t>
  </si>
  <si>
    <t>ΝΚ86/95/96</t>
  </si>
  <si>
    <t>Φ10</t>
  </si>
  <si>
    <t>/200</t>
  </si>
  <si>
    <t>Φ8</t>
  </si>
  <si>
    <t>Φ12</t>
  </si>
  <si>
    <t>Φ14</t>
  </si>
  <si>
    <t>/75</t>
  </si>
  <si>
    <t>/100</t>
  </si>
  <si>
    <t>/125</t>
  </si>
  <si>
    <t>/150</t>
  </si>
  <si>
    <t>/300</t>
  </si>
  <si>
    <t>Φ10/100</t>
  </si>
  <si>
    <t>Διαστ.</t>
  </si>
  <si>
    <t>Αναπτυγμα (m)</t>
  </si>
  <si>
    <t>Ύψος (m)</t>
  </si>
  <si>
    <t>Βαρος (kg)</t>
  </si>
  <si>
    <t>Ονομασία</t>
  </si>
  <si>
    <t>Φ8/75</t>
  </si>
  <si>
    <t>0,85Χ2,60</t>
  </si>
  <si>
    <t>85/8/75</t>
  </si>
  <si>
    <t>1,00Χ2,60</t>
  </si>
  <si>
    <t>100/8/75</t>
  </si>
  <si>
    <t>1,20Χ2,60</t>
  </si>
  <si>
    <t>120/8/75</t>
  </si>
  <si>
    <t>1,40X2,60</t>
  </si>
  <si>
    <t>1,40</t>
  </si>
  <si>
    <t>2,60</t>
  </si>
  <si>
    <t>140/8/75</t>
  </si>
  <si>
    <t>1,60X2,60</t>
  </si>
  <si>
    <t>1,60</t>
  </si>
  <si>
    <t>160/8/75</t>
  </si>
  <si>
    <t>1,80X2,60</t>
  </si>
  <si>
    <t>1,80</t>
  </si>
  <si>
    <t>180/8/75</t>
  </si>
  <si>
    <t>2,00X2,60</t>
  </si>
  <si>
    <t>2,00</t>
  </si>
  <si>
    <t>200/8/75</t>
  </si>
  <si>
    <t>2,20X2,60</t>
  </si>
  <si>
    <t>2,20</t>
  </si>
  <si>
    <t>220/8/75</t>
  </si>
  <si>
    <t>2,40X2,60</t>
  </si>
  <si>
    <t>2,40</t>
  </si>
  <si>
    <t>240/8/75</t>
  </si>
  <si>
    <t>2,60X2,60</t>
  </si>
  <si>
    <t>260/8/75</t>
  </si>
  <si>
    <t>2,80X2,60</t>
  </si>
  <si>
    <t>2,80</t>
  </si>
  <si>
    <t>280/8/75</t>
  </si>
  <si>
    <t>3,00X2,60</t>
  </si>
  <si>
    <t>3,00</t>
  </si>
  <si>
    <t>300/8/75</t>
  </si>
  <si>
    <t>3,20X2,60</t>
  </si>
  <si>
    <t>3,20</t>
  </si>
  <si>
    <t>320/8/75</t>
  </si>
  <si>
    <t>3,40X2,60</t>
  </si>
  <si>
    <t>3,40</t>
  </si>
  <si>
    <t>340/8/75</t>
  </si>
  <si>
    <t>3,60X2,60</t>
  </si>
  <si>
    <t>3,60</t>
  </si>
  <si>
    <t>360/8/75</t>
  </si>
  <si>
    <t>3,80X2,60</t>
  </si>
  <si>
    <t>3,80</t>
  </si>
  <si>
    <t>380/8/75</t>
  </si>
  <si>
    <t>4,00X2,60</t>
  </si>
  <si>
    <t>4,00</t>
  </si>
  <si>
    <t>400/8/75</t>
  </si>
  <si>
    <t>Φ8/100</t>
  </si>
  <si>
    <t>0,80Χ3,00</t>
  </si>
  <si>
    <t>80/8/100</t>
  </si>
  <si>
    <t>1,00Χ3,00</t>
  </si>
  <si>
    <t>100/8/100</t>
  </si>
  <si>
    <t>1,20Χ3,00</t>
  </si>
  <si>
    <t>120/8/100</t>
  </si>
  <si>
    <t>1,40X3,00</t>
  </si>
  <si>
    <t>140/8/100</t>
  </si>
  <si>
    <t>1,60X3,00</t>
  </si>
  <si>
    <t>160/8/100</t>
  </si>
  <si>
    <t>1,80X3,00</t>
  </si>
  <si>
    <t>180/8/100</t>
  </si>
  <si>
    <t>2,00X3,00</t>
  </si>
  <si>
    <t>200/8/100</t>
  </si>
  <si>
    <t>2,20X3,00</t>
  </si>
  <si>
    <t>220/8/100</t>
  </si>
  <si>
    <t>2,40X3,00</t>
  </si>
  <si>
    <t>240/8/100</t>
  </si>
  <si>
    <t>2,60X3,00</t>
  </si>
  <si>
    <t>260/8/100</t>
  </si>
  <si>
    <t>280/8/100</t>
  </si>
  <si>
    <t>300/8/100</t>
  </si>
  <si>
    <t>320/8/100</t>
  </si>
  <si>
    <t>340/8/100</t>
  </si>
  <si>
    <t>360/8/100</t>
  </si>
  <si>
    <t>380/8/100</t>
  </si>
  <si>
    <t>400/8/100</t>
  </si>
  <si>
    <t>Φ8/125</t>
  </si>
  <si>
    <t>80/8/125</t>
  </si>
  <si>
    <t>100/8/125</t>
  </si>
  <si>
    <t>120/8/125</t>
  </si>
  <si>
    <t>140/8/125</t>
  </si>
  <si>
    <t>160/8/125</t>
  </si>
  <si>
    <t>180/8/125</t>
  </si>
  <si>
    <t>200/8/125</t>
  </si>
  <si>
    <t>220/8/125</t>
  </si>
  <si>
    <t>240/8/125</t>
  </si>
  <si>
    <t>260/8/125</t>
  </si>
  <si>
    <t>280/8/125</t>
  </si>
  <si>
    <t>300/8/125</t>
  </si>
  <si>
    <t>320/8/125</t>
  </si>
  <si>
    <t>340/8/125</t>
  </si>
  <si>
    <t>360/8/125</t>
  </si>
  <si>
    <t>380/8/125</t>
  </si>
  <si>
    <t>400/8/125</t>
  </si>
  <si>
    <t>Φ8/150</t>
  </si>
  <si>
    <t>0,85Χ3,00</t>
  </si>
  <si>
    <t>85/8/150</t>
  </si>
  <si>
    <t>100/8/150</t>
  </si>
  <si>
    <t>120/8/150</t>
  </si>
  <si>
    <t>140/8/150</t>
  </si>
  <si>
    <t>160/8/150</t>
  </si>
  <si>
    <t>180/8/150</t>
  </si>
  <si>
    <t>200/8/150</t>
  </si>
  <si>
    <t>220/8/150</t>
  </si>
  <si>
    <t>240/8/150</t>
  </si>
  <si>
    <t>260/8/150</t>
  </si>
  <si>
    <t>280/8/150</t>
  </si>
  <si>
    <t>300/8/150</t>
  </si>
  <si>
    <t>320/8/150</t>
  </si>
  <si>
    <t>340/8/150</t>
  </si>
  <si>
    <t>360/8/150</t>
  </si>
  <si>
    <t>380/8/150</t>
  </si>
  <si>
    <t>400/8/150</t>
  </si>
  <si>
    <t>Φ8/200</t>
  </si>
  <si>
    <t>85/8/200</t>
  </si>
  <si>
    <t>100/8/200</t>
  </si>
  <si>
    <t>120/8/200</t>
  </si>
  <si>
    <t>140/8/200</t>
  </si>
  <si>
    <t>160/8/200</t>
  </si>
  <si>
    <t>180/8/200</t>
  </si>
  <si>
    <t>200/8/200</t>
  </si>
  <si>
    <t>220/8/200</t>
  </si>
  <si>
    <t>240/8/200</t>
  </si>
  <si>
    <t>260/8/200</t>
  </si>
  <si>
    <t>280/8/200</t>
  </si>
  <si>
    <t>300/8/200</t>
  </si>
  <si>
    <t>320/8/200</t>
  </si>
  <si>
    <t>340/8/200</t>
  </si>
  <si>
    <t>360/8/200</t>
  </si>
  <si>
    <t>380/8/200</t>
  </si>
  <si>
    <t>400/8/200</t>
  </si>
  <si>
    <t>Φ8/300</t>
  </si>
  <si>
    <t>85/8/300</t>
  </si>
  <si>
    <t>100/8/300</t>
  </si>
  <si>
    <t>120/8/300</t>
  </si>
  <si>
    <t>140/8/300</t>
  </si>
  <si>
    <t>160/8/300</t>
  </si>
  <si>
    <t>180/8/300</t>
  </si>
  <si>
    <t>200/8/300</t>
  </si>
  <si>
    <t>220/8/300</t>
  </si>
  <si>
    <t>240/8/300</t>
  </si>
  <si>
    <t>260/8/300</t>
  </si>
  <si>
    <t>280/8/300</t>
  </si>
  <si>
    <t>300/8/300</t>
  </si>
  <si>
    <t>320/8/300</t>
  </si>
  <si>
    <t>340/8/300</t>
  </si>
  <si>
    <t>360/8/300</t>
  </si>
  <si>
    <t>380/8/300</t>
  </si>
  <si>
    <t>400/8/300</t>
  </si>
  <si>
    <t>Φ10/75</t>
  </si>
  <si>
    <t>85/10/75</t>
  </si>
  <si>
    <t>100/10/75</t>
  </si>
  <si>
    <t>120/10/75</t>
  </si>
  <si>
    <t>140/10/75</t>
  </si>
  <si>
    <t>160/10/75</t>
  </si>
  <si>
    <t>180/10/75</t>
  </si>
  <si>
    <t>200/10/75</t>
  </si>
  <si>
    <t>220/10/75</t>
  </si>
  <si>
    <t>240/10/75</t>
  </si>
  <si>
    <t>260/10/75</t>
  </si>
  <si>
    <t>280/10/75</t>
  </si>
  <si>
    <t>300/10/75</t>
  </si>
  <si>
    <t>320/10/75</t>
  </si>
  <si>
    <t>340/10/75</t>
  </si>
  <si>
    <t>360/10/75</t>
  </si>
  <si>
    <t>380/10/75</t>
  </si>
  <si>
    <t>400/10/75</t>
  </si>
  <si>
    <t>80/10/100</t>
  </si>
  <si>
    <t>100/10/100</t>
  </si>
  <si>
    <t>120/10/100</t>
  </si>
  <si>
    <t>140/10/100</t>
  </si>
  <si>
    <t>160/10/100</t>
  </si>
  <si>
    <t>180/10/100</t>
  </si>
  <si>
    <t>200/10/100</t>
  </si>
  <si>
    <t>220/10/100</t>
  </si>
  <si>
    <t>240/10/100</t>
  </si>
  <si>
    <t>260/10/100</t>
  </si>
  <si>
    <t>280/10/100</t>
  </si>
  <si>
    <t>300/10/100</t>
  </si>
  <si>
    <t>320/10/100</t>
  </si>
  <si>
    <t>340/10/100</t>
  </si>
  <si>
    <t>360/10/100</t>
  </si>
  <si>
    <t>380/10/100</t>
  </si>
  <si>
    <t>400/10/100</t>
  </si>
  <si>
    <t>Φ10/125</t>
  </si>
  <si>
    <t>100/10/125</t>
  </si>
  <si>
    <t>120/10/125</t>
  </si>
  <si>
    <t>140/10/125</t>
  </si>
  <si>
    <t>160/10/125</t>
  </si>
  <si>
    <t>180/10/125</t>
  </si>
  <si>
    <t>200/10/125</t>
  </si>
  <si>
    <t>220/10/125</t>
  </si>
  <si>
    <t>240/10/125</t>
  </si>
  <si>
    <t>260/10/125</t>
  </si>
  <si>
    <t>280/10/125</t>
  </si>
  <si>
    <t>300/10/125</t>
  </si>
  <si>
    <t>320/10/125</t>
  </si>
  <si>
    <t>340/10/125</t>
  </si>
  <si>
    <t>360/10/125</t>
  </si>
  <si>
    <t>380/10/125</t>
  </si>
  <si>
    <t>400/10/125</t>
  </si>
  <si>
    <t>Φ10/150</t>
  </si>
  <si>
    <t>85/10/150</t>
  </si>
  <si>
    <t>100/10/150</t>
  </si>
  <si>
    <t>120/10/150</t>
  </si>
  <si>
    <t>140/10/150</t>
  </si>
  <si>
    <t>160/10/150</t>
  </si>
  <si>
    <t>180/10/150</t>
  </si>
  <si>
    <t>200/10/150</t>
  </si>
  <si>
    <t>220/10/150</t>
  </si>
  <si>
    <t>240/10/150</t>
  </si>
  <si>
    <t>260/10/150</t>
  </si>
  <si>
    <t>280/10/150</t>
  </si>
  <si>
    <t>300/10/150</t>
  </si>
  <si>
    <t>320/10/150</t>
  </si>
  <si>
    <t>340/10/150</t>
  </si>
  <si>
    <t>360/10/150</t>
  </si>
  <si>
    <t>380/10/150</t>
  </si>
  <si>
    <t>400/10/150</t>
  </si>
  <si>
    <t>Φ10/200</t>
  </si>
  <si>
    <t>85/10/200</t>
  </si>
  <si>
    <t>100/10/200</t>
  </si>
  <si>
    <t>120/10/200</t>
  </si>
  <si>
    <t>140/10/200</t>
  </si>
  <si>
    <t>160/10/200</t>
  </si>
  <si>
    <t>180/10/200</t>
  </si>
  <si>
    <t>200/10/200</t>
  </si>
  <si>
    <t>220/10/200</t>
  </si>
  <si>
    <t>240/10/200</t>
  </si>
  <si>
    <t>260/10/200</t>
  </si>
  <si>
    <t>280/10/200</t>
  </si>
  <si>
    <t>300/10/200</t>
  </si>
  <si>
    <t>320/10/200</t>
  </si>
  <si>
    <t>340/10/200</t>
  </si>
  <si>
    <t>360/10/200</t>
  </si>
  <si>
    <t>380/10/200</t>
  </si>
  <si>
    <t>400/10/200</t>
  </si>
  <si>
    <t>Φ10/300</t>
  </si>
  <si>
    <t>85/10/300</t>
  </si>
  <si>
    <t>100/10/300</t>
  </si>
  <si>
    <t>120/10/300</t>
  </si>
  <si>
    <t>140/10/300</t>
  </si>
  <si>
    <t>160/10/300</t>
  </si>
  <si>
    <t>180/10/300</t>
  </si>
  <si>
    <t>200/10/300</t>
  </si>
  <si>
    <t>220/10/300</t>
  </si>
  <si>
    <t>240/10/300</t>
  </si>
  <si>
    <t>260/10/300</t>
  </si>
  <si>
    <t>280/10/300</t>
  </si>
  <si>
    <t>300/10/300</t>
  </si>
  <si>
    <t>320/10/300</t>
  </si>
  <si>
    <t>340/10/300</t>
  </si>
  <si>
    <t>360/10/300</t>
  </si>
  <si>
    <t>380/10/300</t>
  </si>
  <si>
    <t>400/10/300</t>
  </si>
  <si>
    <t>Φ12/75</t>
  </si>
  <si>
    <t>100/12/75</t>
  </si>
  <si>
    <t>120/12/75</t>
  </si>
  <si>
    <t>140/12/75</t>
  </si>
  <si>
    <t>160/12/75</t>
  </si>
  <si>
    <t>180/12/75</t>
  </si>
  <si>
    <t>200/12/75</t>
  </si>
  <si>
    <t>220/12/75</t>
  </si>
  <si>
    <t>240/12/75</t>
  </si>
  <si>
    <t>260/12/75</t>
  </si>
  <si>
    <t>280/12/75</t>
  </si>
  <si>
    <t>300/12/75</t>
  </si>
  <si>
    <t>320/12/75</t>
  </si>
  <si>
    <t>340/12/75</t>
  </si>
  <si>
    <t>360/12/75</t>
  </si>
  <si>
    <t>380/12/75</t>
  </si>
  <si>
    <t>400/12/75</t>
  </si>
  <si>
    <t>Φ12/100</t>
  </si>
  <si>
    <t>100/12/100</t>
  </si>
  <si>
    <t>120/12/100</t>
  </si>
  <si>
    <t>140/12/100</t>
  </si>
  <si>
    <t>160/12/100</t>
  </si>
  <si>
    <t>180/12/100</t>
  </si>
  <si>
    <t>200/12/100</t>
  </si>
  <si>
    <t>220/12/100</t>
  </si>
  <si>
    <t>240/12/100</t>
  </si>
  <si>
    <t>260/12/100</t>
  </si>
  <si>
    <t>280/12/100</t>
  </si>
  <si>
    <t>300/12/100</t>
  </si>
  <si>
    <t>320/12/100</t>
  </si>
  <si>
    <t>340/12/100</t>
  </si>
  <si>
    <t>360/12/100</t>
  </si>
  <si>
    <t>380/12/100</t>
  </si>
  <si>
    <t>400/12/100</t>
  </si>
  <si>
    <t>Φ12/125</t>
  </si>
  <si>
    <t>100/12/125</t>
  </si>
  <si>
    <t>120/12/125</t>
  </si>
  <si>
    <t>140/12/125</t>
  </si>
  <si>
    <t>160/12/125</t>
  </si>
  <si>
    <t>180/12/125</t>
  </si>
  <si>
    <t>200/12/125</t>
  </si>
  <si>
    <t>220/12/125</t>
  </si>
  <si>
    <t>240/12/125</t>
  </si>
  <si>
    <t>260/12/125</t>
  </si>
  <si>
    <t>280/12/125</t>
  </si>
  <si>
    <t>300/12/125</t>
  </si>
  <si>
    <t>320/12/125</t>
  </si>
  <si>
    <t>340/12/125</t>
  </si>
  <si>
    <t>360/12/125</t>
  </si>
  <si>
    <t>380/12/125</t>
  </si>
  <si>
    <t>400/12/125</t>
  </si>
  <si>
    <t>Φ12/150</t>
  </si>
  <si>
    <t>100/12/150</t>
  </si>
  <si>
    <t>120/12/150</t>
  </si>
  <si>
    <t>140/12/150</t>
  </si>
  <si>
    <t>160/12/150</t>
  </si>
  <si>
    <t>180/12/150</t>
  </si>
  <si>
    <t>200/12/150</t>
  </si>
  <si>
    <t>240/12/150</t>
  </si>
  <si>
    <t>260/12/150</t>
  </si>
  <si>
    <t>280/12/150</t>
  </si>
  <si>
    <t>300/12/150</t>
  </si>
  <si>
    <t>320/12/150</t>
  </si>
  <si>
    <t>340/12/150</t>
  </si>
  <si>
    <t>360/12/150</t>
  </si>
  <si>
    <t>380/12/150</t>
  </si>
  <si>
    <t>400/12/150</t>
  </si>
  <si>
    <t>Φ12/200</t>
  </si>
  <si>
    <t>85/12/200</t>
  </si>
  <si>
    <t>100/12/200</t>
  </si>
  <si>
    <t>120/12/200</t>
  </si>
  <si>
    <t>140/12/200</t>
  </si>
  <si>
    <t>160/12/200</t>
  </si>
  <si>
    <t>180/12/200</t>
  </si>
  <si>
    <t>200/12/200</t>
  </si>
  <si>
    <t>220/12/200</t>
  </si>
  <si>
    <t>240/12/200</t>
  </si>
  <si>
    <t>260/12/200</t>
  </si>
  <si>
    <t>280/12/200</t>
  </si>
  <si>
    <t>300/12/200</t>
  </si>
  <si>
    <t>320/12/200</t>
  </si>
  <si>
    <t>340/12/200</t>
  </si>
  <si>
    <t>360/12/200</t>
  </si>
  <si>
    <t>380/12/200</t>
  </si>
  <si>
    <t>400/12/200</t>
  </si>
  <si>
    <t>Φ12/300</t>
  </si>
  <si>
    <t>100/12/300</t>
  </si>
  <si>
    <t>120/12/300</t>
  </si>
  <si>
    <t>140/12/300</t>
  </si>
  <si>
    <t>160/12/300</t>
  </si>
  <si>
    <t>180/12/300</t>
  </si>
  <si>
    <t>200/12/300</t>
  </si>
  <si>
    <t>220/12/300</t>
  </si>
  <si>
    <t>240/12/300</t>
  </si>
  <si>
    <t>260/12/300</t>
  </si>
  <si>
    <t>280/12/300</t>
  </si>
  <si>
    <t>300/12/300</t>
  </si>
  <si>
    <t>320/12/300</t>
  </si>
  <si>
    <t>340/12/300</t>
  </si>
  <si>
    <t>360/12/300</t>
  </si>
  <si>
    <t>380/12/300</t>
  </si>
  <si>
    <t>400/12/300</t>
  </si>
  <si>
    <t>Φ14/100</t>
  </si>
  <si>
    <t>120/14/100</t>
  </si>
  <si>
    <t>140/14/100</t>
  </si>
  <si>
    <t>160/14/100</t>
  </si>
  <si>
    <t>180/14/100</t>
  </si>
  <si>
    <t>200/14/100</t>
  </si>
  <si>
    <t>220/14/100</t>
  </si>
  <si>
    <t>240/14/100</t>
  </si>
  <si>
    <t>260/14/100</t>
  </si>
  <si>
    <t>280/14/100</t>
  </si>
  <si>
    <t>300/14/100</t>
  </si>
  <si>
    <t>320/14/100</t>
  </si>
  <si>
    <t>340/14/100</t>
  </si>
  <si>
    <t>360/14/100</t>
  </si>
  <si>
    <t>380/14/100</t>
  </si>
  <si>
    <t>400/14/100</t>
  </si>
  <si>
    <t>Φ14/125</t>
  </si>
  <si>
    <t>120/14/125</t>
  </si>
  <si>
    <t>140/14/125</t>
  </si>
  <si>
    <t>160/14/125</t>
  </si>
  <si>
    <t>180/14/125</t>
  </si>
  <si>
    <t>200/14/125</t>
  </si>
  <si>
    <t>220/14/125</t>
  </si>
  <si>
    <t>240/14/125</t>
  </si>
  <si>
    <t>260/14/125</t>
  </si>
  <si>
    <t>280/14/125</t>
  </si>
  <si>
    <t>300/14/125</t>
  </si>
  <si>
    <t>320/14/125</t>
  </si>
  <si>
    <t>340/14/125</t>
  </si>
  <si>
    <t>360/14/125</t>
  </si>
  <si>
    <t>380/14/125</t>
  </si>
  <si>
    <t>400/14/125</t>
  </si>
  <si>
    <t>Φ14/150</t>
  </si>
  <si>
    <t>120/14/150</t>
  </si>
  <si>
    <t>140/14/150</t>
  </si>
  <si>
    <t>160/14/150</t>
  </si>
  <si>
    <t>180/14/150</t>
  </si>
  <si>
    <t>200/14/150</t>
  </si>
  <si>
    <t>220/14/150</t>
  </si>
  <si>
    <t>240/14/150</t>
  </si>
  <si>
    <t>260/14/150</t>
  </si>
  <si>
    <t>280/14/150</t>
  </si>
  <si>
    <t>300/14/150</t>
  </si>
  <si>
    <t>320/14/150</t>
  </si>
  <si>
    <t>340/14/150</t>
  </si>
  <si>
    <t>360/14/150</t>
  </si>
  <si>
    <t>380/14/150</t>
  </si>
  <si>
    <t>400/14/150</t>
  </si>
  <si>
    <t>Φ14/200</t>
  </si>
  <si>
    <t>120/14/200</t>
  </si>
  <si>
    <t>140/14/200</t>
  </si>
  <si>
    <t>160/14/200</t>
  </si>
  <si>
    <t>180/14/200</t>
  </si>
  <si>
    <t>200/14/200</t>
  </si>
  <si>
    <t>220/14/200</t>
  </si>
  <si>
    <t>240/14/200</t>
  </si>
  <si>
    <t>260/14/200</t>
  </si>
  <si>
    <t>280/14/200</t>
  </si>
  <si>
    <t>300/14/200</t>
  </si>
  <si>
    <t>320/14/200</t>
  </si>
  <si>
    <t>340/14/200</t>
  </si>
  <si>
    <t>360/14/200</t>
  </si>
  <si>
    <t>380/14/200</t>
  </si>
  <si>
    <t>400/14/200</t>
  </si>
  <si>
    <t>ΠΑΡΑΓΓΕΛΙΑ ΟΠΛΙΣΜΟΥ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</si>
</sst>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Φ00"/>
    <numFmt numFmtId="165" formatCode="0.000"/>
    <numFmt numFmtId="166" formatCode="\Φ@&quot;mm&quot;"/>
  </numFmts>
  <fonts count="15">
    <font>
      <sz val="11"/>
      <color theme="1"/>
      <name val="Calibri"/>
      <charset val="1"/>
    </font>
    <font>
      <sz val="10"/>
      <color theme="1"/>
      <name val="Arial"/>
      <family val="2"/>
      <charset val="161"/>
    </font>
    <font>
      <b/>
      <sz val="14"/>
      <color rgb="FF000000"/>
      <name val="Calibri"/>
      <family val="2"/>
      <charset val="161"/>
    </font>
    <font>
      <b/>
      <sz val="11"/>
      <color rgb="FF000000"/>
      <name val="Calibri"/>
      <family val="2"/>
      <charset val="161"/>
    </font>
    <font>
      <sz val="11"/>
      <color rgb="FF000000"/>
      <name val="Arial"/>
      <family val="2"/>
      <charset val="161"/>
    </font>
    <font>
      <sz val="11"/>
      <color rgb="FF000000"/>
      <name val="Calibri"/>
      <family val="2"/>
      <charset val="161"/>
    </font>
    <font>
      <b/>
      <sz val="9"/>
      <color rgb="FF000000"/>
      <name val="Calibri"/>
      <family val="2"/>
      <charset val="161"/>
    </font>
    <font>
      <b/>
      <sz val="11"/>
      <color theme="1"/>
      <name val="Calibri"/>
      <family val="2"/>
      <charset val="161"/>
    </font>
    <font>
      <sz val="10"/>
      <color theme="1"/>
      <name val="Calibri"/>
      <family val="2"/>
      <charset val="161"/>
    </font>
    <font>
      <sz val="11"/>
      <color theme="0"/>
      <name val="Calibri"/>
      <family val="2"/>
      <charset val="161"/>
    </font>
    <font>
      <sz val="10"/>
      <name val="Calibri"/>
      <family val="2"/>
      <charset val="161"/>
    </font>
    <font>
      <sz val="11"/>
      <name val="Calibri"/>
      <family val="2"/>
      <charset val="161"/>
    </font>
    <font>
      <sz val="10"/>
      <color theme="1"/>
      <name val="Liberation Sans"/>
      <family val="2"/>
      <charset val="161"/>
    </font>
    <font>
      <b/>
      <sz val="8"/>
      <color rgb="FF000000"/>
      <name val="Calibri"/>
      <family val="2"/>
      <charset val="161"/>
    </font>
    <font>
      <b/>
      <sz val="10"/>
      <color theme="1"/>
      <name val="Liberation Sans"/>
      <family val="2"/>
      <charset val="161"/>
    </font>
  </fonts>
  <fills count="5">
    <fill>
      <patternFill patternType="none"/>
    </fill>
    <fill>
      <patternFill patternType="gray125"/>
    </fill>
    <fill>
      <patternFill patternType="solid">
        <fgColor rgb="FFA5A5A5"/>
        <bgColor rgb="FFC0C0C0"/>
      </patternFill>
    </fill>
    <fill>
      <patternFill patternType="solid">
        <fgColor rgb="FFFF9900"/>
        <bgColor rgb="FFFFCC00"/>
      </patternFill>
    </fill>
    <fill>
      <patternFill patternType="solid">
        <fgColor rgb="FFEBECF0"/>
        <bgColor rgb="FFFFFFFF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12" fillId="0" borderId="0" applyNumberFormat="0" applyFont="0" applyFill="0" applyBorder="0" applyAlignment="0" applyProtection="0"/>
  </cellStyleXfs>
  <cellXfs count="113">
    <xf numFmtId="0" fontId="0" fillId="0" borderId="0" xfId="0"/>
    <xf numFmtId="0" fontId="0" fillId="0" borderId="0" xfId="0"/>
    <xf numFmtId="0" fontId="1" fillId="0" borderId="0" xfId="0" applyFont="1"/>
    <xf numFmtId="1" fontId="0" fillId="0" borderId="0" xfId="0" applyNumberFormat="1"/>
    <xf numFmtId="1" fontId="3" fillId="0" borderId="0" xfId="0" applyNumberFormat="1" applyFont="1"/>
    <xf numFmtId="0" fontId="4" fillId="0" borderId="0" xfId="0" applyFont="1"/>
    <xf numFmtId="0" fontId="3" fillId="2" borderId="1" xfId="0" applyFont="1" applyFill="1" applyBorder="1"/>
    <xf numFmtId="0" fontId="0" fillId="2" borderId="2" xfId="0" applyFill="1" applyBorder="1"/>
    <xf numFmtId="1" fontId="0" fillId="2" borderId="2" xfId="0" applyNumberFormat="1" applyFill="1" applyBorder="1"/>
    <xf numFmtId="0" fontId="1" fillId="2" borderId="3" xfId="0" applyFont="1" applyFill="1" applyBorder="1"/>
    <xf numFmtId="0" fontId="0" fillId="0" borderId="4" xfId="0" applyBorder="1"/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center" vertical="center"/>
    </xf>
    <xf numFmtId="165" fontId="0" fillId="0" borderId="4" xfId="0" applyNumberFormat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0" fontId="1" fillId="0" borderId="4" xfId="0" applyFont="1" applyBorder="1"/>
    <xf numFmtId="164" fontId="1" fillId="0" borderId="8" xfId="0" applyNumberFormat="1" applyFont="1" applyBorder="1" applyAlignment="1">
      <alignment horizontal="center" vertical="center"/>
    </xf>
    <xf numFmtId="165" fontId="1" fillId="0" borderId="0" xfId="0" applyNumberFormat="1" applyFont="1" applyAlignment="1">
      <alignment horizontal="center"/>
    </xf>
    <xf numFmtId="0" fontId="1" fillId="0" borderId="8" xfId="0" applyFont="1" applyBorder="1" applyAlignment="1">
      <alignment horizontal="center"/>
    </xf>
    <xf numFmtId="1" fontId="5" fillId="0" borderId="9" xfId="0" applyNumberFormat="1" applyFont="1" applyBorder="1" applyAlignment="1">
      <alignment horizontal="center"/>
    </xf>
    <xf numFmtId="0" fontId="0" fillId="0" borderId="8" xfId="0" applyBorder="1"/>
    <xf numFmtId="0" fontId="1" fillId="0" borderId="8" xfId="0" applyFont="1" applyBorder="1"/>
    <xf numFmtId="1" fontId="5" fillId="0" borderId="9" xfId="0" applyNumberFormat="1" applyFont="1" applyBorder="1"/>
    <xf numFmtId="165" fontId="1" fillId="0" borderId="0" xfId="0" applyNumberFormat="1" applyFont="1"/>
    <xf numFmtId="2" fontId="1" fillId="0" borderId="0" xfId="0" applyNumberFormat="1" applyFont="1"/>
    <xf numFmtId="164" fontId="1" fillId="0" borderId="6" xfId="0" applyNumberFormat="1" applyFont="1" applyBorder="1" applyAlignment="1">
      <alignment horizontal="center" vertical="center"/>
    </xf>
    <xf numFmtId="165" fontId="1" fillId="0" borderId="10" xfId="0" applyNumberFormat="1" applyFont="1" applyBorder="1"/>
    <xf numFmtId="0" fontId="1" fillId="0" borderId="6" xfId="0" applyFont="1" applyBorder="1"/>
    <xf numFmtId="0" fontId="1" fillId="0" borderId="10" xfId="0" applyFont="1" applyBorder="1"/>
    <xf numFmtId="1" fontId="5" fillId="0" borderId="11" xfId="0" applyNumberFormat="1" applyFont="1" applyBorder="1"/>
    <xf numFmtId="164" fontId="1" fillId="0" borderId="5" xfId="0" applyNumberFormat="1" applyFont="1" applyBorder="1" applyAlignment="1">
      <alignment horizontal="center" vertical="center"/>
    </xf>
    <xf numFmtId="165" fontId="1" fillId="0" borderId="12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2" xfId="0" applyFont="1" applyBorder="1"/>
    <xf numFmtId="1" fontId="5" fillId="0" borderId="13" xfId="0" applyNumberFormat="1" applyFont="1" applyBorder="1" applyAlignment="1">
      <alignment horizontal="center"/>
    </xf>
    <xf numFmtId="1" fontId="1" fillId="0" borderId="8" xfId="0" applyNumberFormat="1" applyFont="1" applyBorder="1"/>
    <xf numFmtId="2" fontId="0" fillId="0" borderId="0" xfId="0" applyNumberFormat="1"/>
    <xf numFmtId="0" fontId="7" fillId="3" borderId="0" xfId="0" applyFont="1" applyFill="1"/>
    <xf numFmtId="0" fontId="8" fillId="4" borderId="4" xfId="0" applyFont="1" applyFill="1" applyBorder="1" applyAlignment="1">
      <alignment horizontal="center" wrapText="1"/>
    </xf>
    <xf numFmtId="2" fontId="0" fillId="0" borderId="0" xfId="0" applyNumberFormat="1" applyAlignment="1">
      <alignment horizontal="center" vertical="center"/>
    </xf>
    <xf numFmtId="0" fontId="8" fillId="4" borderId="6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7" fillId="3" borderId="10" xfId="0" applyFont="1" applyFill="1" applyBorder="1" applyAlignment="1">
      <alignment wrapText="1"/>
    </xf>
    <xf numFmtId="0" fontId="0" fillId="0" borderId="10" xfId="0" applyBorder="1"/>
    <xf numFmtId="0" fontId="7" fillId="0" borderId="0" xfId="0" applyFont="1" applyAlignment="1">
      <alignment wrapText="1"/>
    </xf>
    <xf numFmtId="0" fontId="8" fillId="4" borderId="5" xfId="0" applyFont="1" applyFill="1" applyBorder="1" applyAlignment="1">
      <alignment horizontal="center" wrapText="1"/>
    </xf>
    <xf numFmtId="0" fontId="8" fillId="4" borderId="5" xfId="0" applyFont="1" applyFill="1" applyBorder="1" applyAlignment="1">
      <alignment horizontal="center"/>
    </xf>
    <xf numFmtId="0" fontId="7" fillId="0" borderId="0" xfId="0" applyFont="1" applyAlignment="1">
      <alignment horizontal="center" wrapText="1"/>
    </xf>
    <xf numFmtId="0" fontId="9" fillId="0" borderId="0" xfId="0" applyFont="1" applyAlignment="1">
      <alignment horizontal="center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3" fontId="8" fillId="0" borderId="0" xfId="0" applyNumberFormat="1" applyFont="1" applyAlignment="1">
      <alignment horizontal="center" wrapText="1"/>
    </xf>
    <xf numFmtId="0" fontId="7" fillId="3" borderId="10" xfId="0" applyFont="1" applyFill="1" applyBorder="1"/>
    <xf numFmtId="0" fontId="8" fillId="4" borderId="1" xfId="0" applyFont="1" applyFill="1" applyBorder="1" applyAlignment="1">
      <alignment horizontal="center" wrapText="1"/>
    </xf>
    <xf numFmtId="0" fontId="8" fillId="4" borderId="6" xfId="0" applyFont="1" applyFill="1" applyBorder="1" applyAlignment="1">
      <alignment horizontal="center" wrapText="1"/>
    </xf>
    <xf numFmtId="0" fontId="10" fillId="4" borderId="4" xfId="0" applyFont="1" applyFill="1" applyBorder="1" applyAlignment="1">
      <alignment horizontal="center" wrapText="1"/>
    </xf>
    <xf numFmtId="2" fontId="11" fillId="0" borderId="0" xfId="0" applyNumberFormat="1" applyFont="1"/>
    <xf numFmtId="0" fontId="10" fillId="4" borderId="4" xfId="0" applyFont="1" applyFill="1" applyBorder="1" applyAlignment="1">
      <alignment horizontal="center"/>
    </xf>
    <xf numFmtId="0" fontId="0" fillId="4" borderId="4" xfId="0" applyFill="1" applyBorder="1"/>
    <xf numFmtId="166" fontId="7" fillId="0" borderId="0" xfId="0" applyNumberFormat="1" applyFont="1" applyAlignment="1">
      <alignment wrapText="1"/>
    </xf>
    <xf numFmtId="2" fontId="0" fillId="0" borderId="0" xfId="0" applyNumberFormat="1"/>
    <xf numFmtId="2" fontId="1" fillId="0" borderId="8" xfId="0" applyNumberFormat="1" applyFont="1" applyBorder="1"/>
    <xf numFmtId="0" fontId="0" fillId="0" borderId="16" xfId="2" applyFont="1" applyBorder="1"/>
    <xf numFmtId="0" fontId="0" fillId="0" borderId="12" xfId="2" applyFont="1" applyBorder="1"/>
    <xf numFmtId="2" fontId="3" fillId="0" borderId="12" xfId="2" applyNumberFormat="1" applyFont="1" applyBorder="1" applyAlignment="1">
      <alignment horizontal="center"/>
    </xf>
    <xf numFmtId="2" fontId="3" fillId="0" borderId="12" xfId="2" applyNumberFormat="1" applyFont="1" applyBorder="1" applyAlignment="1">
      <alignment horizontal="center" vertical="center"/>
    </xf>
    <xf numFmtId="2" fontId="3" fillId="0" borderId="12" xfId="2" applyNumberFormat="1" applyFont="1" applyBorder="1"/>
    <xf numFmtId="0" fontId="0" fillId="0" borderId="17" xfId="2" applyFont="1" applyBorder="1"/>
    <xf numFmtId="0" fontId="0" fillId="0" borderId="18" xfId="2" applyFont="1" applyBorder="1"/>
    <xf numFmtId="0" fontId="12" fillId="0" borderId="0" xfId="2" applyBorder="1"/>
    <xf numFmtId="2" fontId="3" fillId="0" borderId="0" xfId="2" applyNumberFormat="1" applyFont="1" applyBorder="1" applyAlignment="1">
      <alignment horizontal="center"/>
    </xf>
    <xf numFmtId="2" fontId="3" fillId="0" borderId="0" xfId="2" applyNumberFormat="1" applyFont="1" applyBorder="1" applyAlignment="1">
      <alignment horizontal="center" vertical="center"/>
    </xf>
    <xf numFmtId="0" fontId="6" fillId="0" borderId="0" xfId="2" applyFont="1" applyBorder="1" applyAlignment="1">
      <alignment horizontal="right"/>
    </xf>
    <xf numFmtId="0" fontId="0" fillId="0" borderId="19" xfId="2" applyFont="1" applyBorder="1"/>
    <xf numFmtId="2" fontId="13" fillId="0" borderId="0" xfId="2" applyNumberFormat="1" applyFont="1" applyBorder="1" applyAlignment="1">
      <alignment horizontal="left"/>
    </xf>
    <xf numFmtId="2" fontId="3" fillId="0" borderId="18" xfId="2" applyNumberFormat="1" applyFont="1" applyBorder="1"/>
    <xf numFmtId="2" fontId="3" fillId="0" borderId="0" xfId="2" applyNumberFormat="1" applyFont="1" applyBorder="1" applyAlignment="1">
      <alignment horizontal="right"/>
    </xf>
    <xf numFmtId="2" fontId="3" fillId="0" borderId="0" xfId="2" applyNumberFormat="1" applyFont="1" applyBorder="1"/>
    <xf numFmtId="2" fontId="3" fillId="0" borderId="19" xfId="2" applyNumberFormat="1" applyFont="1" applyBorder="1"/>
    <xf numFmtId="0" fontId="3" fillId="0" borderId="0" xfId="2" applyFont="1" applyBorder="1"/>
    <xf numFmtId="0" fontId="0" fillId="0" borderId="20" xfId="2" applyFont="1" applyBorder="1"/>
    <xf numFmtId="0" fontId="0" fillId="0" borderId="10" xfId="2" applyFont="1" applyBorder="1"/>
    <xf numFmtId="2" fontId="3" fillId="0" borderId="10" xfId="2" applyNumberFormat="1" applyFont="1" applyBorder="1" applyAlignment="1">
      <alignment horizontal="center"/>
    </xf>
    <xf numFmtId="0" fontId="0" fillId="0" borderId="21" xfId="2" applyFont="1" applyBorder="1"/>
    <xf numFmtId="0" fontId="12" fillId="0" borderId="0" xfId="2"/>
    <xf numFmtId="2" fontId="3" fillId="0" borderId="0" xfId="2" applyNumberFormat="1" applyFont="1" applyAlignment="1">
      <alignment horizontal="center"/>
    </xf>
    <xf numFmtId="2" fontId="3" fillId="0" borderId="0" xfId="2" applyNumberFormat="1" applyFont="1"/>
    <xf numFmtId="2" fontId="3" fillId="0" borderId="18" xfId="2" applyNumberFormat="1" applyFont="1" applyBorder="1" applyAlignment="1">
      <alignment horizontal="right"/>
    </xf>
    <xf numFmtId="2" fontId="14" fillId="0" borderId="0" xfId="2" applyNumberFormat="1" applyFont="1"/>
    <xf numFmtId="0" fontId="3" fillId="0" borderId="0" xfId="2" applyFont="1"/>
    <xf numFmtId="2" fontId="3" fillId="0" borderId="0" xfId="2" applyNumberFormat="1" applyFont="1" applyAlignment="1">
      <alignment horizontal="center" vertical="center"/>
    </xf>
    <xf numFmtId="0" fontId="0" fillId="0" borderId="22" xfId="2" applyFont="1" applyBorder="1"/>
    <xf numFmtId="0" fontId="0" fillId="0" borderId="23" xfId="2" applyFont="1" applyBorder="1"/>
    <xf numFmtId="2" fontId="3" fillId="0" borderId="23" xfId="2" applyNumberFormat="1" applyFont="1" applyBorder="1" applyAlignment="1">
      <alignment horizontal="center"/>
    </xf>
    <xf numFmtId="165" fontId="0" fillId="0" borderId="0" xfId="2" applyNumberFormat="1" applyFont="1"/>
    <xf numFmtId="0" fontId="1" fillId="0" borderId="6" xfId="0" applyFont="1" applyBorder="1" applyAlignment="1">
      <alignment horizontal="center" vertical="center"/>
    </xf>
    <xf numFmtId="0" fontId="0" fillId="0" borderId="8" xfId="0" applyBorder="1"/>
    <xf numFmtId="0" fontId="0" fillId="0" borderId="6" xfId="0" applyBorder="1"/>
    <xf numFmtId="0" fontId="0" fillId="0" borderId="7" xfId="0" applyBorder="1" applyAlignment="1">
      <alignment horizontal="center" vertical="center" wrapText="1"/>
    </xf>
    <xf numFmtId="0" fontId="0" fillId="0" borderId="15" xfId="0" applyBorder="1"/>
    <xf numFmtId="0" fontId="0" fillId="0" borderId="7" xfId="0" applyBorder="1"/>
    <xf numFmtId="0" fontId="3" fillId="2" borderId="5" xfId="0" applyFont="1" applyFill="1" applyBorder="1" applyAlignment="1">
      <alignment horizontal="center" vertical="center"/>
    </xf>
    <xf numFmtId="0" fontId="0" fillId="0" borderId="12" xfId="0" applyBorder="1"/>
    <xf numFmtId="0" fontId="0" fillId="0" borderId="14" xfId="0" applyBorder="1"/>
    <xf numFmtId="0" fontId="0" fillId="0" borderId="4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2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right"/>
    </xf>
    <xf numFmtId="0" fontId="7" fillId="3" borderId="0" xfId="0" applyFont="1" applyFill="1" applyAlignment="1">
      <alignment horizontal="center"/>
    </xf>
    <xf numFmtId="2" fontId="0" fillId="0" borderId="0" xfId="0" applyNumberFormat="1"/>
  </cellXfs>
  <cellStyles count="3">
    <cellStyle name="Default" xfId="2" xr:uid="{20D54F7C-986B-40E1-945C-C85E811F4502}"/>
    <cellStyle name="Default 1" xfId="1" xr:uid="{00000000-0005-0000-0000-000001000000}"/>
    <cellStyle name="Κανονικό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ECF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574794</xdr:colOff>
      <xdr:row>11</xdr:row>
      <xdr:rowOff>10467</xdr:rowOff>
    </xdr:from>
    <xdr:ext cx="1256937" cy="12799"/>
    <xdr:cxnSp macro="">
      <xdr:nvCxnSpPr>
        <xdr:cNvPr id="2" name="Σύνδεση 31">
          <a:extLst>
            <a:ext uri="{FF2B5EF4-FFF2-40B4-BE49-F238E27FC236}">
              <a16:creationId xmlns:a16="http://schemas.microsoft.com/office/drawing/2014/main" id="{F248AC23-DE23-4CC5-BF8E-9B4C561E5498}"/>
            </a:ext>
          </a:extLst>
        </xdr:cNvPr>
        <xdr:cNvCxnSpPr/>
      </xdr:nvCxnSpPr>
      <xdr:spPr>
        <a:xfrm flipV="1">
          <a:off x="5451594" y="2153592"/>
          <a:ext cx="1256937" cy="12799"/>
        </a:xfrm>
        <a:prstGeom prst="straightConnector1">
          <a:avLst/>
        </a:prstGeom>
        <a:noFill/>
        <a:ln w="19080" cap="flat">
          <a:solidFill>
            <a:srgbClr val="000000"/>
          </a:solidFill>
          <a:prstDash val="solid"/>
        </a:ln>
      </xdr:spPr>
    </xdr:cxnSp>
    <xdr:clientData/>
  </xdr:oneCellAnchor>
  <xdr:oneCellAnchor>
    <xdr:from>
      <xdr:col>8</xdr:col>
      <xdr:colOff>584965</xdr:colOff>
      <xdr:row>15</xdr:row>
      <xdr:rowOff>0</xdr:rowOff>
    </xdr:from>
    <xdr:ext cx="1257233" cy="4580"/>
    <xdr:cxnSp macro="">
      <xdr:nvCxnSpPr>
        <xdr:cNvPr id="3" name="Σύνδεση 32">
          <a:extLst>
            <a:ext uri="{FF2B5EF4-FFF2-40B4-BE49-F238E27FC236}">
              <a16:creationId xmlns:a16="http://schemas.microsoft.com/office/drawing/2014/main" id="{469E0185-5D1A-4350-BA81-49262F9B5B6B}"/>
            </a:ext>
          </a:extLst>
        </xdr:cNvPr>
        <xdr:cNvCxnSpPr/>
      </xdr:nvCxnSpPr>
      <xdr:spPr>
        <a:xfrm flipV="1">
          <a:off x="5461765" y="2905125"/>
          <a:ext cx="1257233" cy="4580"/>
        </a:xfrm>
        <a:prstGeom prst="straightConnector1">
          <a:avLst/>
        </a:prstGeom>
        <a:noFill/>
        <a:ln w="19080" cap="flat">
          <a:solidFill>
            <a:srgbClr val="000000"/>
          </a:solidFill>
          <a:prstDash val="solid"/>
        </a:ln>
      </xdr:spPr>
    </xdr:cxnSp>
    <xdr:clientData/>
  </xdr:oneCellAnchor>
  <xdr:oneCellAnchor>
    <xdr:from>
      <xdr:col>11</xdr:col>
      <xdr:colOff>10949</xdr:colOff>
      <xdr:row>11</xdr:row>
      <xdr:rowOff>11781</xdr:rowOff>
    </xdr:from>
    <xdr:ext cx="10316" cy="760686"/>
    <xdr:cxnSp macro="">
      <xdr:nvCxnSpPr>
        <xdr:cNvPr id="4" name="Σύνδεση 33">
          <a:extLst>
            <a:ext uri="{FF2B5EF4-FFF2-40B4-BE49-F238E27FC236}">
              <a16:creationId xmlns:a16="http://schemas.microsoft.com/office/drawing/2014/main" id="{58AA5A87-75E4-4FED-8185-BBAF598900BB}"/>
            </a:ext>
          </a:extLst>
        </xdr:cNvPr>
        <xdr:cNvCxnSpPr/>
      </xdr:nvCxnSpPr>
      <xdr:spPr>
        <a:xfrm>
          <a:off x="6716549" y="2154906"/>
          <a:ext cx="10316" cy="760686"/>
        </a:xfrm>
        <a:prstGeom prst="straightConnector1">
          <a:avLst/>
        </a:prstGeom>
        <a:noFill/>
        <a:ln w="19080" cap="flat">
          <a:solidFill>
            <a:srgbClr val="000000"/>
          </a:solidFill>
          <a:prstDash val="solid"/>
        </a:ln>
      </xdr:spPr>
    </xdr:cxnSp>
    <xdr:clientData/>
  </xdr:oneCellAnchor>
  <xdr:oneCellAnchor>
    <xdr:from>
      <xdr:col>8</xdr:col>
      <xdr:colOff>585407</xdr:colOff>
      <xdr:row>11</xdr:row>
      <xdr:rowOff>6707</xdr:rowOff>
    </xdr:from>
    <xdr:ext cx="10332" cy="754851"/>
    <xdr:cxnSp macro="">
      <xdr:nvCxnSpPr>
        <xdr:cNvPr id="5" name="Σύνδεση 34">
          <a:extLst>
            <a:ext uri="{FF2B5EF4-FFF2-40B4-BE49-F238E27FC236}">
              <a16:creationId xmlns:a16="http://schemas.microsoft.com/office/drawing/2014/main" id="{272D2EDE-DADE-4CD2-A74C-231C4D0B110D}"/>
            </a:ext>
          </a:extLst>
        </xdr:cNvPr>
        <xdr:cNvCxnSpPr/>
      </xdr:nvCxnSpPr>
      <xdr:spPr>
        <a:xfrm>
          <a:off x="5462207" y="2149832"/>
          <a:ext cx="10332" cy="754851"/>
        </a:xfrm>
        <a:prstGeom prst="straightConnector1">
          <a:avLst/>
        </a:prstGeom>
        <a:noFill/>
        <a:ln w="19080" cap="flat">
          <a:solidFill>
            <a:srgbClr val="000000"/>
          </a:solidFill>
          <a:prstDash val="solid"/>
        </a:ln>
      </xdr:spPr>
    </xdr:cxnSp>
    <xdr:clientData/>
  </xdr:oneCellAnchor>
  <xdr:oneCellAnchor>
    <xdr:from>
      <xdr:col>10</xdr:col>
      <xdr:colOff>455954</xdr:colOff>
      <xdr:row>11</xdr:row>
      <xdr:rowOff>35541</xdr:rowOff>
    </xdr:from>
    <xdr:ext cx="161640" cy="101161"/>
    <xdr:cxnSp macro="">
      <xdr:nvCxnSpPr>
        <xdr:cNvPr id="6" name="Σύνδεση 35">
          <a:extLst>
            <a:ext uri="{FF2B5EF4-FFF2-40B4-BE49-F238E27FC236}">
              <a16:creationId xmlns:a16="http://schemas.microsoft.com/office/drawing/2014/main" id="{EDD3E93F-05CD-431F-90EB-31404AE39303}"/>
            </a:ext>
          </a:extLst>
        </xdr:cNvPr>
        <xdr:cNvCxnSpPr/>
      </xdr:nvCxnSpPr>
      <xdr:spPr>
        <a:xfrm flipH="1">
          <a:off x="6551954" y="2178666"/>
          <a:ext cx="161640" cy="101161"/>
        </a:xfrm>
        <a:prstGeom prst="straightConnector1">
          <a:avLst/>
        </a:prstGeom>
        <a:noFill/>
        <a:ln w="19080" cap="flat">
          <a:solidFill>
            <a:srgbClr val="000000"/>
          </a:solidFill>
          <a:prstDash val="solid"/>
        </a:ln>
      </xdr:spPr>
    </xdr:cxnSp>
    <xdr:clientData/>
  </xdr:oneCellAnchor>
  <xdr:oneCellAnchor>
    <xdr:from>
      <xdr:col>10</xdr:col>
      <xdr:colOff>410123</xdr:colOff>
      <xdr:row>11</xdr:row>
      <xdr:rowOff>1682</xdr:rowOff>
    </xdr:from>
    <xdr:ext cx="155160" cy="101159"/>
    <xdr:cxnSp macro="">
      <xdr:nvCxnSpPr>
        <xdr:cNvPr id="7" name="Σύνδεση 36">
          <a:extLst>
            <a:ext uri="{FF2B5EF4-FFF2-40B4-BE49-F238E27FC236}">
              <a16:creationId xmlns:a16="http://schemas.microsoft.com/office/drawing/2014/main" id="{12C170B0-0B8F-4204-BE3A-6FB39241E594}"/>
            </a:ext>
          </a:extLst>
        </xdr:cNvPr>
        <xdr:cNvCxnSpPr/>
      </xdr:nvCxnSpPr>
      <xdr:spPr>
        <a:xfrm flipH="1">
          <a:off x="6506123" y="2144807"/>
          <a:ext cx="155160" cy="101159"/>
        </a:xfrm>
        <a:prstGeom prst="straightConnector1">
          <a:avLst/>
        </a:prstGeom>
        <a:noFill/>
        <a:ln w="19080" cap="flat">
          <a:solidFill>
            <a:srgbClr val="000000"/>
          </a:solidFill>
          <a:prstDash val="solid"/>
        </a:ln>
      </xdr:spPr>
    </xdr:cxnSp>
    <xdr:clientData/>
  </xdr:oneCellAnchor>
  <xdr:oneCellAnchor>
    <xdr:from>
      <xdr:col>8</xdr:col>
      <xdr:colOff>12240</xdr:colOff>
      <xdr:row>27</xdr:row>
      <xdr:rowOff>8280</xdr:rowOff>
    </xdr:from>
    <xdr:ext cx="3018442" cy="0"/>
    <xdr:cxnSp macro="">
      <xdr:nvCxnSpPr>
        <xdr:cNvPr id="8" name="Σύνδεση 113">
          <a:extLst>
            <a:ext uri="{FF2B5EF4-FFF2-40B4-BE49-F238E27FC236}">
              <a16:creationId xmlns:a16="http://schemas.microsoft.com/office/drawing/2014/main" id="{6F67C109-C315-4E25-A2BA-86944C925390}"/>
            </a:ext>
          </a:extLst>
        </xdr:cNvPr>
        <xdr:cNvCxnSpPr/>
      </xdr:nvCxnSpPr>
      <xdr:spPr>
        <a:xfrm>
          <a:off x="5031915" y="11562105"/>
          <a:ext cx="3018442" cy="0"/>
        </a:xfrm>
        <a:prstGeom prst="straightConnector1">
          <a:avLst/>
        </a:prstGeom>
        <a:noFill/>
        <a:ln w="19080" cap="flat">
          <a:solidFill>
            <a:srgbClr val="000000"/>
          </a:solidFill>
          <a:prstDash val="solid"/>
        </a:ln>
      </xdr:spPr>
    </xdr:cxnSp>
    <xdr:clientData/>
  </xdr:oneCellAnchor>
  <xdr:oneCellAnchor>
    <xdr:from>
      <xdr:col>8</xdr:col>
      <xdr:colOff>9585</xdr:colOff>
      <xdr:row>25</xdr:row>
      <xdr:rowOff>61920</xdr:rowOff>
    </xdr:from>
    <xdr:ext cx="1" cy="338675"/>
    <xdr:cxnSp macro="">
      <xdr:nvCxnSpPr>
        <xdr:cNvPr id="9" name="Σύνδεση 108">
          <a:extLst>
            <a:ext uri="{FF2B5EF4-FFF2-40B4-BE49-F238E27FC236}">
              <a16:creationId xmlns:a16="http://schemas.microsoft.com/office/drawing/2014/main" id="{BE839C5B-6DF3-4379-9690-5A6D0E542AA7}"/>
            </a:ext>
          </a:extLst>
        </xdr:cNvPr>
        <xdr:cNvCxnSpPr/>
      </xdr:nvCxnSpPr>
      <xdr:spPr>
        <a:xfrm>
          <a:off x="5029260" y="11234745"/>
          <a:ext cx="1" cy="338675"/>
        </a:xfrm>
        <a:prstGeom prst="straightConnector1">
          <a:avLst/>
        </a:prstGeom>
        <a:noFill/>
        <a:ln w="19080" cap="flat">
          <a:solidFill>
            <a:srgbClr val="000000"/>
          </a:solidFill>
          <a:prstDash val="solid"/>
        </a:ln>
      </xdr:spPr>
    </xdr:cxnSp>
    <xdr:clientData/>
  </xdr:oneCellAnchor>
  <xdr:oneCellAnchor>
    <xdr:from>
      <xdr:col>8</xdr:col>
      <xdr:colOff>584965</xdr:colOff>
      <xdr:row>22</xdr:row>
      <xdr:rowOff>0</xdr:rowOff>
    </xdr:from>
    <xdr:ext cx="1257233" cy="4580"/>
    <xdr:cxnSp macro="">
      <xdr:nvCxnSpPr>
        <xdr:cNvPr id="11" name="Σύνδεση 32">
          <a:extLst>
            <a:ext uri="{FF2B5EF4-FFF2-40B4-BE49-F238E27FC236}">
              <a16:creationId xmlns:a16="http://schemas.microsoft.com/office/drawing/2014/main" id="{01974ECA-7A90-4D5F-90B7-20490EE6B55B}"/>
            </a:ext>
          </a:extLst>
        </xdr:cNvPr>
        <xdr:cNvCxnSpPr/>
      </xdr:nvCxnSpPr>
      <xdr:spPr>
        <a:xfrm flipV="1">
          <a:off x="5461765" y="2905125"/>
          <a:ext cx="1257233" cy="4580"/>
        </a:xfrm>
        <a:prstGeom prst="straightConnector1">
          <a:avLst/>
        </a:prstGeom>
        <a:noFill/>
        <a:ln w="19080" cap="flat">
          <a:solidFill>
            <a:srgbClr val="000000"/>
          </a:solidFill>
          <a:prstDash val="solid"/>
        </a:ln>
      </xdr:spPr>
    </xdr:cxnSp>
    <xdr:clientData/>
  </xdr:oneCellAnchor>
  <xdr:oneCellAnchor>
    <xdr:from>
      <xdr:col>11</xdr:col>
      <xdr:colOff>10949</xdr:colOff>
      <xdr:row>18</xdr:row>
      <xdr:rowOff>11781</xdr:rowOff>
    </xdr:from>
    <xdr:ext cx="10316" cy="760686"/>
    <xdr:cxnSp macro="">
      <xdr:nvCxnSpPr>
        <xdr:cNvPr id="12" name="Σύνδεση 33">
          <a:extLst>
            <a:ext uri="{FF2B5EF4-FFF2-40B4-BE49-F238E27FC236}">
              <a16:creationId xmlns:a16="http://schemas.microsoft.com/office/drawing/2014/main" id="{98AE53A6-1680-4B6B-A056-F4661522FC8F}"/>
            </a:ext>
          </a:extLst>
        </xdr:cNvPr>
        <xdr:cNvCxnSpPr/>
      </xdr:nvCxnSpPr>
      <xdr:spPr>
        <a:xfrm>
          <a:off x="6716549" y="2154906"/>
          <a:ext cx="10316" cy="760686"/>
        </a:xfrm>
        <a:prstGeom prst="straightConnector1">
          <a:avLst/>
        </a:prstGeom>
        <a:noFill/>
        <a:ln w="19080" cap="flat">
          <a:solidFill>
            <a:srgbClr val="000000"/>
          </a:solidFill>
          <a:prstDash val="solid"/>
        </a:ln>
      </xdr:spPr>
    </xdr:cxnSp>
    <xdr:clientData/>
  </xdr:oneCellAnchor>
  <xdr:oneCellAnchor>
    <xdr:from>
      <xdr:col>8</xdr:col>
      <xdr:colOff>585407</xdr:colOff>
      <xdr:row>18</xdr:row>
      <xdr:rowOff>6707</xdr:rowOff>
    </xdr:from>
    <xdr:ext cx="10332" cy="754851"/>
    <xdr:cxnSp macro="">
      <xdr:nvCxnSpPr>
        <xdr:cNvPr id="13" name="Σύνδεση 34">
          <a:extLst>
            <a:ext uri="{FF2B5EF4-FFF2-40B4-BE49-F238E27FC236}">
              <a16:creationId xmlns:a16="http://schemas.microsoft.com/office/drawing/2014/main" id="{3C35F178-49FC-467D-AA8D-EB3C24BB8A91}"/>
            </a:ext>
          </a:extLst>
        </xdr:cNvPr>
        <xdr:cNvCxnSpPr/>
      </xdr:nvCxnSpPr>
      <xdr:spPr>
        <a:xfrm>
          <a:off x="5462207" y="2149832"/>
          <a:ext cx="10332" cy="754851"/>
        </a:xfrm>
        <a:prstGeom prst="straightConnector1">
          <a:avLst/>
        </a:prstGeom>
        <a:noFill/>
        <a:ln w="19080" cap="flat">
          <a:solidFill>
            <a:srgbClr val="000000"/>
          </a:solidFill>
          <a:prstDash val="solid"/>
        </a:ln>
      </xdr:spPr>
    </xdr:cxnSp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0"/>
  <sheetViews>
    <sheetView zoomScaleNormal="100" workbookViewId="0">
      <selection activeCell="F13" sqref="F13"/>
    </sheetView>
  </sheetViews>
  <sheetFormatPr defaultColWidth="9.140625" defaultRowHeight="15"/>
  <cols>
    <col min="17" max="17" width="19.7109375" style="1" customWidth="1"/>
  </cols>
  <sheetData>
    <row r="1" spans="1:28" ht="15" customHeight="1">
      <c r="A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2"/>
      <c r="AB1">
        <v>8</v>
      </c>
    </row>
    <row r="2" spans="1:28" ht="15" customHeight="1">
      <c r="A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  <c r="Q2" s="2"/>
      <c r="AB2">
        <v>10</v>
      </c>
    </row>
    <row r="3" spans="1:28" ht="18.75" customHeight="1">
      <c r="A3" s="108" t="s">
        <v>454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AB3">
        <v>12</v>
      </c>
    </row>
    <row r="4" spans="1:28" ht="15" customHeight="1">
      <c r="A4" s="2"/>
      <c r="C4" s="2"/>
      <c r="D4" s="2"/>
      <c r="E4" s="2"/>
      <c r="F4" s="2"/>
      <c r="G4" s="2"/>
      <c r="H4" s="2"/>
      <c r="I4" s="2"/>
      <c r="J4" s="2"/>
      <c r="K4" s="2"/>
      <c r="L4" s="2"/>
      <c r="M4" s="110" t="s">
        <v>2</v>
      </c>
      <c r="N4" s="109"/>
      <c r="O4" s="109"/>
      <c r="P4" s="4">
        <f>IFERROR(SUM(P10:P891), "")</f>
        <v>520.36597776000008</v>
      </c>
      <c r="Q4" s="5" t="s">
        <v>3</v>
      </c>
      <c r="AB4">
        <v>14</v>
      </c>
    </row>
    <row r="5" spans="1:28" ht="15" customHeight="1">
      <c r="A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3"/>
      <c r="Q5" s="2"/>
      <c r="AB5">
        <v>16</v>
      </c>
    </row>
    <row r="6" spans="1:28" ht="15" customHeight="1">
      <c r="A6" s="6" t="s">
        <v>4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8"/>
      <c r="Q6" s="9"/>
      <c r="AB6">
        <v>18</v>
      </c>
    </row>
    <row r="7" spans="1:28" ht="15" customHeight="1">
      <c r="A7" s="10" t="s">
        <v>5</v>
      </c>
      <c r="B7" s="11" t="s">
        <v>6</v>
      </c>
      <c r="C7" s="12" t="s">
        <v>7</v>
      </c>
      <c r="D7" s="13" t="s">
        <v>8</v>
      </c>
      <c r="E7" s="11" t="s">
        <v>9</v>
      </c>
      <c r="F7" s="11" t="s">
        <v>10</v>
      </c>
      <c r="G7" s="105" t="s">
        <v>11</v>
      </c>
      <c r="H7" s="106"/>
      <c r="I7" s="106"/>
      <c r="J7" s="106"/>
      <c r="K7" s="106"/>
      <c r="L7" s="106"/>
      <c r="M7" s="106"/>
      <c r="N7" s="106"/>
      <c r="O7" s="107"/>
      <c r="P7" s="14" t="s">
        <v>12</v>
      </c>
      <c r="Q7" s="15"/>
      <c r="AB7">
        <v>20</v>
      </c>
    </row>
    <row r="8" spans="1:28" ht="15" customHeight="1">
      <c r="A8" s="102"/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4"/>
      <c r="AB8">
        <v>22</v>
      </c>
    </row>
    <row r="9" spans="1:28" ht="15" customHeight="1">
      <c r="A9" s="102"/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4"/>
      <c r="AB9">
        <v>25</v>
      </c>
    </row>
    <row r="10" spans="1:28" ht="15" customHeight="1">
      <c r="A10" s="96">
        <v>1</v>
      </c>
      <c r="B10" s="99" t="s">
        <v>13</v>
      </c>
      <c r="C10" s="16"/>
      <c r="D10" s="17"/>
      <c r="E10" s="18"/>
      <c r="F10" s="21"/>
      <c r="G10" s="63"/>
      <c r="H10" s="64"/>
      <c r="I10" s="65"/>
      <c r="J10" s="66"/>
      <c r="K10" s="67"/>
      <c r="L10" s="67"/>
      <c r="M10" s="65"/>
      <c r="N10" s="65"/>
      <c r="O10" s="68"/>
      <c r="P10" s="19"/>
      <c r="Q10" s="20"/>
      <c r="AB10">
        <v>28</v>
      </c>
    </row>
    <row r="11" spans="1:28" ht="15" customHeight="1">
      <c r="A11" s="97"/>
      <c r="B11" s="100"/>
      <c r="C11" s="16"/>
      <c r="D11" s="17"/>
      <c r="E11" s="18"/>
      <c r="F11" s="21"/>
      <c r="G11" s="69"/>
      <c r="H11" s="70"/>
      <c r="I11" s="71"/>
      <c r="J11" s="72">
        <v>0.93</v>
      </c>
      <c r="K11" s="73">
        <v>0.14000000000000001</v>
      </c>
      <c r="L11" s="1"/>
      <c r="M11" s="71"/>
      <c r="N11" s="71"/>
      <c r="O11" s="74"/>
      <c r="P11" s="19"/>
      <c r="Q11" s="21"/>
      <c r="AB11">
        <v>32</v>
      </c>
    </row>
    <row r="12" spans="1:28" ht="15" customHeight="1">
      <c r="A12" s="97"/>
      <c r="B12" s="100"/>
      <c r="C12" s="16" t="s">
        <v>14</v>
      </c>
      <c r="D12" s="17"/>
      <c r="E12" s="21"/>
      <c r="F12" s="21"/>
      <c r="G12" s="69"/>
      <c r="H12" s="70"/>
      <c r="I12" s="71"/>
      <c r="J12" s="71"/>
      <c r="K12" s="70"/>
      <c r="L12" s="75">
        <v>0.14000000000000001</v>
      </c>
      <c r="M12" s="71"/>
      <c r="N12" s="70"/>
      <c r="O12" s="74"/>
      <c r="P12" s="22"/>
      <c r="Q12" s="20"/>
      <c r="AB12">
        <v>40</v>
      </c>
    </row>
    <row r="13" spans="1:28" ht="15" customHeight="1">
      <c r="A13" s="97"/>
      <c r="B13" s="100"/>
      <c r="C13" s="16" t="s">
        <v>16</v>
      </c>
      <c r="D13" s="24">
        <f>IF(C12="Σίδερο",
  7850*PI()*POWER(VALUE(C13)/1000,2)/4,
  IFERROR(INDEX(ΜΑΝΔΥΕΣ!$D:$D,MATCH(TEXT(F13*100,"0")&amp;"/"&amp;SUBSTITUTE(C13,"Φ","")&amp;"/"&amp;SUBSTITUTE(C14,"/",""),ΜΑΝΔΥΕΣ!$E:$E,0)),"")
)</f>
        <v>37.6</v>
      </c>
      <c r="E13" s="21">
        <v>3</v>
      </c>
      <c r="F13" s="62">
        <f>I13+J15+K13+L12+K11+J11</f>
        <v>3.2</v>
      </c>
      <c r="G13" s="76"/>
      <c r="H13" s="70"/>
      <c r="I13" s="71">
        <v>0.63</v>
      </c>
      <c r="J13" s="71"/>
      <c r="K13" s="77">
        <v>0.43</v>
      </c>
      <c r="L13" s="71"/>
      <c r="M13" s="78"/>
      <c r="N13" s="78"/>
      <c r="O13" s="79"/>
      <c r="P13" s="19">
        <f>IFERROR(D13*E13, "")</f>
        <v>112.80000000000001</v>
      </c>
      <c r="Q13" s="21"/>
    </row>
    <row r="14" spans="1:28" ht="15" customHeight="1">
      <c r="A14" s="97"/>
      <c r="B14" s="100"/>
      <c r="C14" s="16" t="s">
        <v>24</v>
      </c>
      <c r="D14" s="23"/>
      <c r="E14" s="21"/>
      <c r="F14" s="21"/>
      <c r="G14" s="69"/>
      <c r="H14" s="70"/>
      <c r="I14" s="70"/>
      <c r="J14" s="80"/>
      <c r="K14" s="78"/>
      <c r="L14" s="78"/>
      <c r="M14" s="71"/>
      <c r="N14" s="71"/>
      <c r="O14" s="74"/>
      <c r="P14" s="19"/>
      <c r="Q14" s="21"/>
      <c r="AB14" t="s">
        <v>18</v>
      </c>
    </row>
    <row r="15" spans="1:28" ht="15" customHeight="1">
      <c r="A15" s="97"/>
      <c r="B15" s="100"/>
      <c r="C15" s="21"/>
      <c r="D15" s="2"/>
      <c r="E15" s="21"/>
      <c r="F15" s="21"/>
      <c r="G15" s="69"/>
      <c r="H15" s="70"/>
      <c r="I15" s="71"/>
      <c r="J15" s="71">
        <v>0.93</v>
      </c>
      <c r="K15" s="71"/>
      <c r="L15" s="71"/>
      <c r="M15" s="71"/>
      <c r="N15" s="71"/>
      <c r="O15" s="74"/>
      <c r="P15" s="19"/>
      <c r="Q15" s="21" t="str">
        <f>IF(C12="Σίδερο",
  "",
  CONCATENATE("Ονομασία = ",IFERROR(INDEX(ΜΑΝΔΥΕΣ!$E:$E,MATCH(TEXT(F13*100,"0")&amp;"/"&amp;SUBSTITUTE(C13,"Φ","")&amp;"/"&amp;SUBSTITUTE(C14,"/",""),ΜΑΝΔΥΕΣ!$E:$E,0)),""))
)</f>
        <v>Ονομασία = 320/10/150</v>
      </c>
      <c r="AB15" t="s">
        <v>16</v>
      </c>
    </row>
    <row r="16" spans="1:28" ht="15" customHeight="1">
      <c r="A16" s="98"/>
      <c r="B16" s="101"/>
      <c r="C16" s="25"/>
      <c r="D16" s="26"/>
      <c r="E16" s="27"/>
      <c r="F16" s="27"/>
      <c r="G16" s="81"/>
      <c r="H16" s="82"/>
      <c r="I16" s="83"/>
      <c r="J16" s="83"/>
      <c r="K16" s="83"/>
      <c r="L16" s="83"/>
      <c r="M16" s="83"/>
      <c r="N16" s="83"/>
      <c r="O16" s="84"/>
      <c r="P16" s="29"/>
      <c r="Q16" s="27" t="str">
        <f>IF(C12="Σίδερο",
  "",
  IFERROR(
    CONCATENATE("Ύψος = ",TEXT(INDEX(ΜΑΝΔΥΕΣ!$C:$C,MATCH(TEXT(F13*100,"0")&amp;"/"&amp;SUBSTITUTE(C13,"Φ","")&amp;"/"&amp;SUBSTITUTE(C14,"/",""),ΜΑΝΔΥΕΣ!$E:$E,0)),"0,00")),
    ""
  )
)</f>
        <v>Ύψος = 2,60</v>
      </c>
      <c r="AB16" t="s">
        <v>19</v>
      </c>
    </row>
    <row r="17" spans="1:28" ht="15" customHeight="1">
      <c r="A17" s="96">
        <v>2</v>
      </c>
      <c r="B17" s="99" t="s">
        <v>13</v>
      </c>
      <c r="C17" s="16"/>
      <c r="D17" s="17"/>
      <c r="E17" s="18"/>
      <c r="F17" s="2"/>
      <c r="G17" s="63"/>
      <c r="H17" s="64"/>
      <c r="I17" s="65"/>
      <c r="J17" s="66"/>
      <c r="K17" s="67"/>
      <c r="L17" s="67"/>
      <c r="M17" s="65"/>
      <c r="N17" s="65"/>
      <c r="O17" s="68"/>
      <c r="P17" s="19"/>
      <c r="Q17" s="20"/>
      <c r="AB17" t="s">
        <v>20</v>
      </c>
    </row>
    <row r="18" spans="1:28" ht="15" customHeight="1">
      <c r="A18" s="97"/>
      <c r="B18" s="100"/>
      <c r="C18" s="16"/>
      <c r="D18" s="17"/>
      <c r="E18" s="18"/>
      <c r="F18" s="2"/>
      <c r="G18" s="69"/>
      <c r="H18" s="70"/>
      <c r="I18" s="71"/>
      <c r="J18" s="72"/>
      <c r="K18" s="73"/>
      <c r="L18" s="1"/>
      <c r="M18" s="71"/>
      <c r="N18" s="71"/>
      <c r="O18" s="74"/>
      <c r="P18" s="19"/>
      <c r="Q18" s="21"/>
    </row>
    <row r="19" spans="1:28" ht="15" customHeight="1">
      <c r="A19" s="97"/>
      <c r="B19" s="100"/>
      <c r="C19" s="16" t="s">
        <v>14</v>
      </c>
      <c r="D19" s="17"/>
      <c r="E19" s="21"/>
      <c r="F19" s="2"/>
      <c r="G19" s="69"/>
      <c r="H19" s="70"/>
      <c r="I19" s="71"/>
      <c r="J19" s="71"/>
      <c r="K19" s="70"/>
      <c r="L19" s="75">
        <v>0.2</v>
      </c>
      <c r="M19" s="71"/>
      <c r="N19" s="70"/>
      <c r="O19" s="74"/>
      <c r="P19" s="22"/>
      <c r="Q19" s="20" t="s">
        <v>15</v>
      </c>
      <c r="AB19" t="s">
        <v>21</v>
      </c>
    </row>
    <row r="20" spans="1:28" ht="15" customHeight="1">
      <c r="A20" s="97"/>
      <c r="B20" s="100"/>
      <c r="C20" s="16" t="s">
        <v>18</v>
      </c>
      <c r="D20" s="24">
        <f>IF(C19="Σίδερο",
  7850*PI()*POWER(VALUE(C20)/1000,2)/4,
  IFERROR(INDEX(ΜΑΝΔΥΕΣ!$D:$D,MATCH(TEXT(F20*100,"0")&amp;"/"&amp;SUBSTITUTE(C20,"Φ","")&amp;"/"&amp;SUBSTITUTE(C21,"/",""),ΜΑΝΔΥΕΣ!$E:$E,0)),"")
)</f>
        <v>22.1</v>
      </c>
      <c r="E20" s="21">
        <v>18</v>
      </c>
      <c r="F20" s="62">
        <f>I20+J22+K20+L19+K18+J18</f>
        <v>1.5999999999999999</v>
      </c>
      <c r="G20" s="76"/>
      <c r="H20" s="70"/>
      <c r="I20" s="71">
        <v>0.47</v>
      </c>
      <c r="J20" s="71"/>
      <c r="K20" s="77"/>
      <c r="L20" s="71"/>
      <c r="M20" s="78"/>
      <c r="N20" s="78"/>
      <c r="O20" s="79"/>
      <c r="P20" s="19">
        <f>IFERROR(D20*E20, "")</f>
        <v>397.8</v>
      </c>
      <c r="Q20" s="21"/>
      <c r="AB20" t="s">
        <v>22</v>
      </c>
    </row>
    <row r="21" spans="1:28" ht="15" customHeight="1">
      <c r="A21" s="97"/>
      <c r="B21" s="100"/>
      <c r="C21" s="16" t="s">
        <v>22</v>
      </c>
      <c r="D21" s="23"/>
      <c r="E21" s="21"/>
      <c r="F21" s="24"/>
      <c r="G21" s="69"/>
      <c r="H21" s="70"/>
      <c r="I21" s="70"/>
      <c r="J21" s="80"/>
      <c r="K21" s="78"/>
      <c r="L21" s="78"/>
      <c r="M21" s="71"/>
      <c r="N21" s="71"/>
      <c r="O21" s="74"/>
      <c r="P21" s="19"/>
      <c r="Q21" s="21"/>
      <c r="AB21" t="s">
        <v>23</v>
      </c>
    </row>
    <row r="22" spans="1:28" ht="15" customHeight="1">
      <c r="A22" s="97"/>
      <c r="B22" s="100"/>
      <c r="C22" s="21"/>
      <c r="D22" s="2"/>
      <c r="E22" s="21"/>
      <c r="F22" s="2"/>
      <c r="G22" s="69"/>
      <c r="H22" s="70"/>
      <c r="I22" s="71"/>
      <c r="J22" s="71">
        <v>0.93</v>
      </c>
      <c r="K22" s="71"/>
      <c r="L22" s="71"/>
      <c r="M22" s="71"/>
      <c r="N22" s="71"/>
      <c r="O22" s="74"/>
      <c r="P22" s="19"/>
      <c r="Q22" s="21" t="str">
        <f>IF(C19="Σίδερο",
  "",
  CONCATENATE("Ονομασία = ",IFERROR(INDEX(ΜΑΝΔΥΕΣ!$E:$E,MATCH(TEXT(F20*100,"0")&amp;"/"&amp;SUBSTITUTE(C20,"Φ","")&amp;"/"&amp;SUBSTITUTE(C21,"/",""),ΜΑΝΔΥΕΣ!$E:$E,0)),""))
)</f>
        <v>Ονομασία = 160/8/100</v>
      </c>
      <c r="AB22" t="s">
        <v>24</v>
      </c>
    </row>
    <row r="23" spans="1:28" ht="15" customHeight="1">
      <c r="A23" s="98"/>
      <c r="B23" s="101"/>
      <c r="C23" s="25"/>
      <c r="D23" s="26"/>
      <c r="E23" s="27"/>
      <c r="F23" s="28"/>
      <c r="G23" s="81"/>
      <c r="H23" s="82"/>
      <c r="I23" s="83"/>
      <c r="J23" s="83"/>
      <c r="K23" s="83"/>
      <c r="L23" s="83"/>
      <c r="M23" s="83"/>
      <c r="N23" s="83"/>
      <c r="O23" s="84"/>
      <c r="P23" s="29"/>
      <c r="Q23" s="27" t="str">
        <f>IF(C19="Σίδερο",
  "",
  IFERROR(
    CONCATENATE("Ύψος = ",TEXT(INDEX(ΜΑΝΔΥΕΣ!$C:$C,MATCH(TEXT(F20*100,"0")&amp;"/"&amp;SUBSTITUTE(C20,"Φ","")&amp;"/"&amp;SUBSTITUTE(C21,"/",""),ΜΑΝΔΥΕΣ!$E:$E,0)),"0,00")),
    ""
  )
)</f>
        <v>Ύψος = 3,00</v>
      </c>
      <c r="AB23" t="s">
        <v>17</v>
      </c>
    </row>
    <row r="24" spans="1:28" ht="15" customHeight="1">
      <c r="A24" s="96">
        <f>A17+1</f>
        <v>3</v>
      </c>
      <c r="B24" s="99" t="s">
        <v>13</v>
      </c>
      <c r="C24" s="30"/>
      <c r="D24" s="31"/>
      <c r="E24" s="32"/>
      <c r="F24" s="33"/>
      <c r="G24" s="69"/>
      <c r="H24" s="85"/>
      <c r="I24" s="86"/>
      <c r="J24" s="86"/>
      <c r="K24" s="86"/>
      <c r="L24" s="86"/>
      <c r="M24" s="86"/>
      <c r="N24" s="86"/>
      <c r="O24" s="85"/>
      <c r="P24" s="34"/>
      <c r="Q24" s="20"/>
      <c r="AB24" t="s">
        <v>25</v>
      </c>
    </row>
    <row r="25" spans="1:28" ht="15" customHeight="1">
      <c r="A25" s="97"/>
      <c r="B25" s="100"/>
      <c r="C25" s="16"/>
      <c r="D25" s="17"/>
      <c r="E25" s="18"/>
      <c r="F25" s="2"/>
      <c r="G25" s="69"/>
      <c r="H25" s="85"/>
      <c r="I25" s="86"/>
      <c r="J25" s="86"/>
      <c r="K25" s="85"/>
      <c r="L25" s="86"/>
      <c r="M25" s="86"/>
      <c r="N25" s="86"/>
      <c r="O25" s="85"/>
      <c r="P25" s="19"/>
      <c r="Q25" s="21"/>
    </row>
    <row r="26" spans="1:28" ht="15" customHeight="1">
      <c r="A26" s="97"/>
      <c r="B26" s="100"/>
      <c r="C26" s="16"/>
      <c r="D26" s="17"/>
      <c r="E26" s="21"/>
      <c r="F26" s="2"/>
      <c r="G26" s="69"/>
      <c r="H26" s="86"/>
      <c r="I26" s="85"/>
      <c r="J26" s="86"/>
      <c r="K26" s="85"/>
      <c r="L26" s="86"/>
      <c r="M26" s="87"/>
      <c r="N26" s="86"/>
      <c r="O26" s="85"/>
      <c r="P26" s="22"/>
      <c r="Q26" s="20"/>
    </row>
    <row r="27" spans="1:28" ht="15" customHeight="1">
      <c r="A27" s="97"/>
      <c r="B27" s="100"/>
      <c r="C27" s="16">
        <v>12</v>
      </c>
      <c r="D27" s="95">
        <f>7850*3.1416*((C27/1000)*(C27/1000))/4</f>
        <v>0.88781616000000008</v>
      </c>
      <c r="E27" s="35">
        <v>1</v>
      </c>
      <c r="F27" s="24">
        <f>H27+J29+J24+K27+J25+K25</f>
        <v>11</v>
      </c>
      <c r="G27" s="88"/>
      <c r="H27" s="89">
        <v>0.3</v>
      </c>
      <c r="I27" s="85"/>
      <c r="J27" s="90"/>
      <c r="K27" s="87">
        <v>10.7</v>
      </c>
      <c r="L27" s="87"/>
      <c r="M27" s="91"/>
      <c r="N27" s="86"/>
      <c r="O27" s="87"/>
      <c r="P27" s="19">
        <f>D27*E27*F27</f>
        <v>9.7659777600000002</v>
      </c>
      <c r="Q27" s="21"/>
    </row>
    <row r="28" spans="1:28" ht="15" customHeight="1">
      <c r="A28" s="97"/>
      <c r="B28" s="100"/>
      <c r="C28" s="16"/>
      <c r="D28" s="23"/>
      <c r="E28" s="21"/>
      <c r="F28" s="24"/>
      <c r="G28" s="69"/>
      <c r="H28" s="1"/>
      <c r="I28" s="86"/>
      <c r="J28" s="86"/>
      <c r="K28" s="86"/>
      <c r="L28" s="86"/>
      <c r="M28" s="86"/>
      <c r="N28" s="86"/>
      <c r="O28" s="85"/>
      <c r="P28" s="19"/>
      <c r="Q28" s="21"/>
    </row>
    <row r="29" spans="1:28" ht="15" customHeight="1">
      <c r="A29" s="97"/>
      <c r="B29" s="100"/>
      <c r="C29" s="21"/>
      <c r="D29" s="2"/>
      <c r="E29" s="21"/>
      <c r="F29" s="2"/>
      <c r="G29" s="69"/>
      <c r="H29" s="85"/>
      <c r="I29" s="86"/>
      <c r="J29" s="86"/>
      <c r="K29" s="86"/>
      <c r="L29" s="86"/>
      <c r="M29" s="86"/>
      <c r="N29" s="86"/>
      <c r="O29" s="85"/>
      <c r="P29" s="19"/>
      <c r="Q29" s="21"/>
    </row>
    <row r="30" spans="1:28" ht="15" customHeight="1">
      <c r="A30" s="98"/>
      <c r="B30" s="101"/>
      <c r="C30" s="25"/>
      <c r="D30" s="26"/>
      <c r="E30" s="27"/>
      <c r="F30" s="28"/>
      <c r="G30" s="92"/>
      <c r="H30" s="93"/>
      <c r="I30" s="94"/>
      <c r="J30" s="94"/>
      <c r="K30" s="94"/>
      <c r="L30" s="94"/>
      <c r="M30" s="94"/>
      <c r="N30" s="94"/>
      <c r="O30" s="93"/>
      <c r="P30" s="29"/>
      <c r="Q30" s="27"/>
    </row>
  </sheetData>
  <mergeCells count="11">
    <mergeCell ref="G7:O7"/>
    <mergeCell ref="B10:B16"/>
    <mergeCell ref="A9:Q9"/>
    <mergeCell ref="A3:Q3"/>
    <mergeCell ref="M4:O4"/>
    <mergeCell ref="A10:A16"/>
    <mergeCell ref="A17:A23"/>
    <mergeCell ref="B17:B23"/>
    <mergeCell ref="A24:A30"/>
    <mergeCell ref="B24:B30"/>
    <mergeCell ref="A8:Q8"/>
  </mergeCells>
  <dataValidations count="2">
    <dataValidation type="list" sqref="C13 C20" xr:uid="{00000000-0002-0000-0000-000000000000}">
      <formula1>IF(C12="Σίδερο",INDIRECT("$AB$1:$AB$12"),INDIRECT("$AB$14:$AB$17"))</formula1>
      <formula2>0</formula2>
    </dataValidation>
    <dataValidation type="list" allowBlank="1" sqref="C14 C21" xr:uid="{00000000-0002-0000-0000-000001000000}">
      <formula1>IF(C12="Σίδερο","",INDIRECT("$AB$19:$AB$24"))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76"/>
  <sheetViews>
    <sheetView tabSelected="1" topLeftCell="A195" zoomScale="130" zoomScaleNormal="130" workbookViewId="0">
      <selection activeCell="E291" sqref="E291"/>
    </sheetView>
  </sheetViews>
  <sheetFormatPr defaultColWidth="14.42578125" defaultRowHeight="15"/>
  <cols>
    <col min="1" max="1" width="10.28515625" style="1" customWidth="1"/>
    <col min="2" max="2" width="15" style="36" customWidth="1"/>
    <col min="3" max="3" width="12" style="36" customWidth="1"/>
    <col min="4" max="4" width="10.42578125" style="1" customWidth="1"/>
    <col min="5" max="5" width="10.28515625" style="1" customWidth="1"/>
  </cols>
  <sheetData>
    <row r="1" spans="1:5" ht="15" customHeight="1">
      <c r="A1" t="s">
        <v>27</v>
      </c>
      <c r="B1" s="36" t="s">
        <v>28</v>
      </c>
      <c r="C1" s="36" t="s">
        <v>29</v>
      </c>
      <c r="D1" t="s">
        <v>30</v>
      </c>
      <c r="E1" t="s">
        <v>31</v>
      </c>
    </row>
    <row r="3" spans="1:5" ht="15" customHeight="1">
      <c r="A3" s="37" t="s">
        <v>32</v>
      </c>
    </row>
    <row r="4" spans="1:5" ht="15" customHeight="1">
      <c r="A4" s="38" t="s">
        <v>33</v>
      </c>
      <c r="B4" s="39">
        <v>0.85</v>
      </c>
      <c r="C4" s="39">
        <v>2.6</v>
      </c>
      <c r="D4" s="38">
        <v>13.1</v>
      </c>
      <c r="E4" s="40" t="s">
        <v>34</v>
      </c>
    </row>
    <row r="5" spans="1:5" ht="15" customHeight="1">
      <c r="A5" s="38" t="s">
        <v>35</v>
      </c>
      <c r="B5" s="39">
        <v>1</v>
      </c>
      <c r="C5" s="39">
        <v>2.6</v>
      </c>
      <c r="D5" s="38">
        <v>15.1</v>
      </c>
      <c r="E5" s="41" t="s">
        <v>36</v>
      </c>
    </row>
    <row r="6" spans="1:5" ht="15" customHeight="1">
      <c r="A6" s="38" t="s">
        <v>37</v>
      </c>
      <c r="B6" s="39">
        <v>1.2</v>
      </c>
      <c r="C6" s="39">
        <v>2.6</v>
      </c>
      <c r="D6" s="38">
        <v>17.7</v>
      </c>
      <c r="E6" s="41" t="s">
        <v>38</v>
      </c>
    </row>
    <row r="7" spans="1:5" ht="15" customHeight="1">
      <c r="A7" s="38" t="s">
        <v>39</v>
      </c>
      <c r="B7" s="39" t="s">
        <v>40</v>
      </c>
      <c r="C7" s="39">
        <v>2.6</v>
      </c>
      <c r="D7" s="38">
        <v>20.3</v>
      </c>
      <c r="E7" s="41" t="s">
        <v>42</v>
      </c>
    </row>
    <row r="8" spans="1:5" ht="15" customHeight="1">
      <c r="A8" s="38" t="s">
        <v>43</v>
      </c>
      <c r="B8" s="39" t="s">
        <v>44</v>
      </c>
      <c r="C8" s="39">
        <v>2.6</v>
      </c>
      <c r="D8" s="38">
        <v>23.6</v>
      </c>
      <c r="E8" s="41" t="s">
        <v>45</v>
      </c>
    </row>
    <row r="9" spans="1:5" ht="15" customHeight="1">
      <c r="A9" s="38" t="s">
        <v>46</v>
      </c>
      <c r="B9" s="39" t="s">
        <v>47</v>
      </c>
      <c r="C9" s="39">
        <v>2.6</v>
      </c>
      <c r="D9" s="38">
        <v>26.2</v>
      </c>
      <c r="E9" s="41" t="s">
        <v>48</v>
      </c>
    </row>
    <row r="10" spans="1:5" ht="15" customHeight="1">
      <c r="A10" s="38" t="s">
        <v>49</v>
      </c>
      <c r="B10" s="39" t="s">
        <v>50</v>
      </c>
      <c r="C10" s="39">
        <v>2.6</v>
      </c>
      <c r="D10" s="38">
        <v>29.5</v>
      </c>
      <c r="E10" s="41" t="s">
        <v>51</v>
      </c>
    </row>
    <row r="11" spans="1:5" ht="15" customHeight="1">
      <c r="A11" s="38" t="s">
        <v>52</v>
      </c>
      <c r="B11" s="39" t="s">
        <v>53</v>
      </c>
      <c r="C11" s="39">
        <v>2.6</v>
      </c>
      <c r="D11" s="38">
        <v>32.1</v>
      </c>
      <c r="E11" s="41" t="s">
        <v>54</v>
      </c>
    </row>
    <row r="12" spans="1:5" ht="15" customHeight="1">
      <c r="A12" s="38" t="s">
        <v>55</v>
      </c>
      <c r="B12" s="39" t="s">
        <v>56</v>
      </c>
      <c r="C12" s="39">
        <v>2.6</v>
      </c>
      <c r="D12" s="38">
        <v>35.4</v>
      </c>
      <c r="E12" s="41" t="s">
        <v>57</v>
      </c>
    </row>
    <row r="13" spans="1:5" ht="15" customHeight="1">
      <c r="A13" s="38" t="s">
        <v>58</v>
      </c>
      <c r="B13" s="39" t="s">
        <v>41</v>
      </c>
      <c r="C13" s="39">
        <v>2.6</v>
      </c>
      <c r="D13" s="38">
        <v>38</v>
      </c>
      <c r="E13" s="41" t="s">
        <v>59</v>
      </c>
    </row>
    <row r="14" spans="1:5" ht="15" customHeight="1">
      <c r="A14" s="38" t="s">
        <v>60</v>
      </c>
      <c r="B14" s="39" t="s">
        <v>61</v>
      </c>
      <c r="C14" s="39">
        <v>2.6</v>
      </c>
      <c r="D14" s="38">
        <v>40.6</v>
      </c>
      <c r="E14" s="41" t="s">
        <v>62</v>
      </c>
    </row>
    <row r="15" spans="1:5" ht="15" customHeight="1">
      <c r="A15" s="38" t="s">
        <v>63</v>
      </c>
      <c r="B15" s="39" t="s">
        <v>64</v>
      </c>
      <c r="C15" s="39">
        <v>2.6</v>
      </c>
      <c r="D15" s="38">
        <v>43.2</v>
      </c>
      <c r="E15" s="41" t="s">
        <v>65</v>
      </c>
    </row>
    <row r="16" spans="1:5" ht="15" customHeight="1">
      <c r="A16" s="38" t="s">
        <v>66</v>
      </c>
      <c r="B16" s="39" t="s">
        <v>67</v>
      </c>
      <c r="C16" s="39">
        <v>2.6</v>
      </c>
      <c r="D16" s="38">
        <v>45.8</v>
      </c>
      <c r="E16" s="41" t="s">
        <v>68</v>
      </c>
    </row>
    <row r="17" spans="1:7" ht="15" customHeight="1">
      <c r="A17" s="38" t="s">
        <v>69</v>
      </c>
      <c r="B17" s="39" t="s">
        <v>70</v>
      </c>
      <c r="C17" s="39">
        <v>2.6</v>
      </c>
      <c r="D17" s="38">
        <v>48.4</v>
      </c>
      <c r="E17" s="41" t="s">
        <v>71</v>
      </c>
    </row>
    <row r="18" spans="1:7" ht="15" customHeight="1">
      <c r="A18" s="38" t="s">
        <v>72</v>
      </c>
      <c r="B18" s="39" t="s">
        <v>73</v>
      </c>
      <c r="C18" s="39">
        <v>2.6</v>
      </c>
      <c r="D18" s="38">
        <v>51</v>
      </c>
      <c r="E18" s="41" t="s">
        <v>74</v>
      </c>
    </row>
    <row r="19" spans="1:7" ht="15" customHeight="1">
      <c r="A19" s="38" t="s">
        <v>75</v>
      </c>
      <c r="B19" s="39" t="s">
        <v>76</v>
      </c>
      <c r="C19" s="39">
        <v>2.6</v>
      </c>
      <c r="D19" s="38">
        <v>53.6</v>
      </c>
      <c r="E19" s="41" t="s">
        <v>77</v>
      </c>
    </row>
    <row r="20" spans="1:7" ht="15" customHeight="1">
      <c r="A20" s="38" t="s">
        <v>78</v>
      </c>
      <c r="B20" s="39" t="s">
        <v>79</v>
      </c>
      <c r="C20" s="39">
        <v>2.6</v>
      </c>
      <c r="D20" s="38">
        <v>56.2</v>
      </c>
      <c r="E20" s="41" t="s">
        <v>80</v>
      </c>
    </row>
    <row r="21" spans="1:7" ht="15.75" customHeight="1"/>
    <row r="22" spans="1:7" ht="15.75" customHeight="1">
      <c r="A22" s="42" t="s">
        <v>81</v>
      </c>
      <c r="D22" s="43"/>
      <c r="E22" s="43"/>
      <c r="F22" s="44"/>
      <c r="G22" s="44"/>
    </row>
    <row r="23" spans="1:7" ht="15" customHeight="1">
      <c r="A23" s="38" t="s">
        <v>82</v>
      </c>
      <c r="B23" s="36">
        <v>0.8</v>
      </c>
      <c r="C23" s="36">
        <v>3</v>
      </c>
      <c r="D23" s="38">
        <v>11.8</v>
      </c>
      <c r="E23" s="40" t="s">
        <v>83</v>
      </c>
    </row>
    <row r="24" spans="1:7" ht="15" customHeight="1">
      <c r="A24" s="38" t="s">
        <v>84</v>
      </c>
      <c r="B24" s="36">
        <v>1</v>
      </c>
      <c r="C24" s="36">
        <v>3</v>
      </c>
      <c r="D24" s="38">
        <v>14.2</v>
      </c>
      <c r="E24" s="41" t="s">
        <v>85</v>
      </c>
    </row>
    <row r="25" spans="1:7" ht="15" customHeight="1">
      <c r="A25" s="38" t="s">
        <v>86</v>
      </c>
      <c r="B25" s="36">
        <v>1.2</v>
      </c>
      <c r="C25" s="36">
        <v>3</v>
      </c>
      <c r="D25" s="38">
        <v>16.600000000000001</v>
      </c>
      <c r="E25" s="41" t="s">
        <v>87</v>
      </c>
    </row>
    <row r="26" spans="1:7" ht="15" customHeight="1">
      <c r="A26" s="38" t="s">
        <v>88</v>
      </c>
      <c r="B26" s="36">
        <v>1.4</v>
      </c>
      <c r="C26" s="36">
        <v>3</v>
      </c>
      <c r="D26" s="38">
        <v>18.899999999999999</v>
      </c>
      <c r="E26" s="41" t="s">
        <v>89</v>
      </c>
    </row>
    <row r="27" spans="1:7" ht="15" customHeight="1">
      <c r="A27" s="38" t="s">
        <v>90</v>
      </c>
      <c r="B27" s="36">
        <v>1.6</v>
      </c>
      <c r="C27" s="36">
        <v>3</v>
      </c>
      <c r="D27" s="38">
        <v>22.1</v>
      </c>
      <c r="E27" s="41" t="s">
        <v>91</v>
      </c>
    </row>
    <row r="28" spans="1:7" ht="15" customHeight="1">
      <c r="A28" s="38" t="s">
        <v>92</v>
      </c>
      <c r="B28" s="36">
        <v>1.8</v>
      </c>
      <c r="C28" s="36">
        <v>3</v>
      </c>
      <c r="D28" s="38">
        <v>24.4</v>
      </c>
      <c r="E28" s="41" t="s">
        <v>93</v>
      </c>
    </row>
    <row r="29" spans="1:7" ht="15" customHeight="1">
      <c r="A29" s="38" t="s">
        <v>94</v>
      </c>
      <c r="B29" s="36">
        <v>2</v>
      </c>
      <c r="C29" s="36">
        <v>3</v>
      </c>
      <c r="D29" s="38">
        <v>27.6</v>
      </c>
      <c r="E29" s="41" t="s">
        <v>95</v>
      </c>
    </row>
    <row r="30" spans="1:7" ht="15" customHeight="1">
      <c r="A30" s="38" t="s">
        <v>96</v>
      </c>
      <c r="B30" s="36">
        <v>2.2000000000000002</v>
      </c>
      <c r="C30" s="36">
        <v>3</v>
      </c>
      <c r="D30" s="38">
        <v>30</v>
      </c>
      <c r="E30" s="41" t="s">
        <v>97</v>
      </c>
    </row>
    <row r="31" spans="1:7" ht="15" customHeight="1">
      <c r="A31" s="38" t="s">
        <v>98</v>
      </c>
      <c r="B31" s="36">
        <v>2.4</v>
      </c>
      <c r="C31" s="36">
        <v>3</v>
      </c>
      <c r="D31" s="38">
        <v>33.1</v>
      </c>
      <c r="E31" s="41" t="s">
        <v>99</v>
      </c>
    </row>
    <row r="32" spans="1:7" ht="15" customHeight="1">
      <c r="A32" s="38" t="s">
        <v>100</v>
      </c>
      <c r="B32" s="36">
        <v>2.6</v>
      </c>
      <c r="C32" s="36">
        <v>3</v>
      </c>
      <c r="D32" s="38">
        <v>35.5</v>
      </c>
      <c r="E32" s="41" t="s">
        <v>101</v>
      </c>
    </row>
    <row r="33" spans="1:7" ht="15" customHeight="1">
      <c r="A33" s="38" t="s">
        <v>60</v>
      </c>
      <c r="B33" s="36">
        <v>2.8</v>
      </c>
      <c r="C33" s="36">
        <v>2.6</v>
      </c>
      <c r="D33" s="38">
        <v>32.799999999999997</v>
      </c>
      <c r="E33" s="41" t="s">
        <v>102</v>
      </c>
    </row>
    <row r="34" spans="1:7" ht="15" customHeight="1">
      <c r="A34" s="38" t="s">
        <v>63</v>
      </c>
      <c r="B34" s="36">
        <v>3</v>
      </c>
      <c r="C34" s="36">
        <v>2.6</v>
      </c>
      <c r="D34" s="38">
        <v>34.9</v>
      </c>
      <c r="E34" s="41" t="s">
        <v>103</v>
      </c>
    </row>
    <row r="35" spans="1:7" ht="15" customHeight="1">
      <c r="A35" s="38" t="s">
        <v>66</v>
      </c>
      <c r="B35" s="36">
        <v>3.2</v>
      </c>
      <c r="C35" s="36">
        <v>2.6</v>
      </c>
      <c r="D35" s="38">
        <v>36.9</v>
      </c>
      <c r="E35" s="41" t="s">
        <v>104</v>
      </c>
    </row>
    <row r="36" spans="1:7" ht="15" customHeight="1">
      <c r="A36" s="38" t="s">
        <v>69</v>
      </c>
      <c r="B36" s="36">
        <v>3.4</v>
      </c>
      <c r="C36" s="36">
        <v>2.6</v>
      </c>
      <c r="D36" s="38">
        <v>39</v>
      </c>
      <c r="E36" s="41" t="s">
        <v>105</v>
      </c>
    </row>
    <row r="37" spans="1:7" ht="15" customHeight="1">
      <c r="A37" s="38" t="s">
        <v>72</v>
      </c>
      <c r="B37" s="36">
        <v>3.6</v>
      </c>
      <c r="C37" s="36">
        <v>2.6</v>
      </c>
      <c r="D37" s="38">
        <v>41</v>
      </c>
      <c r="E37" s="41" t="s">
        <v>106</v>
      </c>
    </row>
    <row r="38" spans="1:7" ht="15" customHeight="1">
      <c r="A38" s="38" t="s">
        <v>75</v>
      </c>
      <c r="B38" s="36">
        <v>3.8</v>
      </c>
      <c r="C38" s="36">
        <v>2.6</v>
      </c>
      <c r="D38" s="38">
        <v>43.1</v>
      </c>
      <c r="E38" s="41" t="s">
        <v>107</v>
      </c>
    </row>
    <row r="39" spans="1:7" ht="15" customHeight="1">
      <c r="A39" s="38" t="s">
        <v>78</v>
      </c>
      <c r="B39" s="36">
        <v>4</v>
      </c>
      <c r="C39" s="36">
        <v>2.6</v>
      </c>
      <c r="D39" s="38">
        <v>45.2</v>
      </c>
      <c r="E39" s="41" t="s">
        <v>108</v>
      </c>
    </row>
    <row r="40" spans="1:7" ht="15" customHeight="1"/>
    <row r="41" spans="1:7" ht="15.75" customHeight="1">
      <c r="A41" s="42" t="s">
        <v>109</v>
      </c>
      <c r="D41" s="43"/>
      <c r="E41" s="43"/>
      <c r="F41" s="44"/>
      <c r="G41" s="44"/>
    </row>
    <row r="42" spans="1:7" ht="15" customHeight="1">
      <c r="A42" s="38" t="s">
        <v>82</v>
      </c>
      <c r="B42" s="36">
        <v>0.8</v>
      </c>
      <c r="C42" s="36">
        <v>3</v>
      </c>
      <c r="D42" s="38">
        <v>9.9</v>
      </c>
      <c r="E42" s="40" t="s">
        <v>110</v>
      </c>
    </row>
    <row r="43" spans="1:7" ht="15" customHeight="1">
      <c r="A43" s="38" t="s">
        <v>84</v>
      </c>
      <c r="B43" s="36">
        <v>1</v>
      </c>
      <c r="C43" s="36">
        <v>3</v>
      </c>
      <c r="D43" s="38">
        <v>11.8</v>
      </c>
      <c r="E43" s="41" t="s">
        <v>111</v>
      </c>
    </row>
    <row r="44" spans="1:7" ht="15" customHeight="1">
      <c r="A44" s="38" t="s">
        <v>86</v>
      </c>
      <c r="B44" s="36">
        <v>1.2</v>
      </c>
      <c r="C44" s="36">
        <v>3</v>
      </c>
      <c r="D44" s="38">
        <v>13.7</v>
      </c>
      <c r="E44" s="41" t="s">
        <v>112</v>
      </c>
    </row>
    <row r="45" spans="1:7" ht="15" customHeight="1">
      <c r="A45" s="38" t="s">
        <v>88</v>
      </c>
      <c r="B45" s="36">
        <v>1.4</v>
      </c>
      <c r="C45" s="36">
        <v>3</v>
      </c>
      <c r="D45" s="38">
        <v>15.6</v>
      </c>
      <c r="E45" s="41" t="s">
        <v>113</v>
      </c>
    </row>
    <row r="46" spans="1:7" ht="15" customHeight="1">
      <c r="A46" s="38" t="s">
        <v>90</v>
      </c>
      <c r="B46" s="36">
        <v>1.6</v>
      </c>
      <c r="C46" s="36">
        <v>3</v>
      </c>
      <c r="D46" s="38">
        <v>18.3</v>
      </c>
      <c r="E46" s="41" t="s">
        <v>114</v>
      </c>
    </row>
    <row r="47" spans="1:7" ht="15" customHeight="1">
      <c r="A47" s="38" t="s">
        <v>92</v>
      </c>
      <c r="B47" s="36">
        <v>1.8</v>
      </c>
      <c r="C47" s="36">
        <v>3</v>
      </c>
      <c r="D47" s="38">
        <v>20.2</v>
      </c>
      <c r="E47" s="41" t="s">
        <v>115</v>
      </c>
    </row>
    <row r="48" spans="1:7" ht="15" customHeight="1">
      <c r="A48" s="38" t="s">
        <v>94</v>
      </c>
      <c r="B48" s="36">
        <v>2</v>
      </c>
      <c r="C48" s="36">
        <v>3</v>
      </c>
      <c r="D48" s="38">
        <v>22.9</v>
      </c>
      <c r="E48" s="41" t="s">
        <v>116</v>
      </c>
    </row>
    <row r="49" spans="1:5" ht="15" customHeight="1">
      <c r="A49" s="38" t="s">
        <v>96</v>
      </c>
      <c r="B49" s="36">
        <v>2.2000000000000002</v>
      </c>
      <c r="C49" s="36">
        <v>3</v>
      </c>
      <c r="D49" s="38">
        <v>24.8</v>
      </c>
      <c r="E49" s="41" t="s">
        <v>117</v>
      </c>
    </row>
    <row r="50" spans="1:5" ht="15" customHeight="1">
      <c r="A50" s="38" t="s">
        <v>98</v>
      </c>
      <c r="B50" s="36">
        <v>2.4</v>
      </c>
      <c r="C50" s="36">
        <v>3</v>
      </c>
      <c r="D50" s="38">
        <v>27.4</v>
      </c>
      <c r="E50" s="41" t="s">
        <v>118</v>
      </c>
    </row>
    <row r="51" spans="1:5" ht="15" customHeight="1">
      <c r="A51" s="38" t="s">
        <v>100</v>
      </c>
      <c r="B51" s="36">
        <v>2.6</v>
      </c>
      <c r="C51" s="36">
        <v>3</v>
      </c>
      <c r="D51" s="38">
        <v>29.3</v>
      </c>
      <c r="E51" s="41" t="s">
        <v>119</v>
      </c>
    </row>
    <row r="52" spans="1:5" ht="15" customHeight="1">
      <c r="A52" s="38" t="s">
        <v>60</v>
      </c>
      <c r="B52" s="36">
        <v>2.8</v>
      </c>
      <c r="C52" s="36">
        <v>2.6</v>
      </c>
      <c r="D52" s="38">
        <v>27.3</v>
      </c>
      <c r="E52" s="41" t="s">
        <v>120</v>
      </c>
    </row>
    <row r="53" spans="1:5" ht="15" customHeight="1">
      <c r="A53" s="45" t="s">
        <v>63</v>
      </c>
      <c r="B53" s="36">
        <v>3</v>
      </c>
      <c r="C53" s="36">
        <v>2.6</v>
      </c>
      <c r="D53" s="38">
        <v>28.9</v>
      </c>
      <c r="E53" s="46" t="s">
        <v>121</v>
      </c>
    </row>
    <row r="54" spans="1:5" ht="15" customHeight="1">
      <c r="A54" s="38" t="s">
        <v>66</v>
      </c>
      <c r="B54" s="36">
        <v>3.2</v>
      </c>
      <c r="C54" s="36">
        <v>2.6</v>
      </c>
      <c r="D54" s="41">
        <v>30.6</v>
      </c>
      <c r="E54" s="41" t="s">
        <v>122</v>
      </c>
    </row>
    <row r="55" spans="1:5" ht="15" customHeight="1">
      <c r="A55" s="38" t="s">
        <v>69</v>
      </c>
      <c r="B55" s="36">
        <v>3.4</v>
      </c>
      <c r="C55" s="36">
        <v>2.6</v>
      </c>
      <c r="D55" s="41">
        <v>32.299999999999997</v>
      </c>
      <c r="E55" s="41" t="s">
        <v>123</v>
      </c>
    </row>
    <row r="56" spans="1:5" ht="15" customHeight="1">
      <c r="A56" s="38" t="s">
        <v>72</v>
      </c>
      <c r="B56" s="36">
        <v>3.6</v>
      </c>
      <c r="C56" s="36">
        <v>2.6</v>
      </c>
      <c r="D56" s="41">
        <v>33.9</v>
      </c>
      <c r="E56" s="41" t="s">
        <v>124</v>
      </c>
    </row>
    <row r="57" spans="1:5" ht="15" customHeight="1">
      <c r="A57" s="38" t="s">
        <v>75</v>
      </c>
      <c r="B57" s="36">
        <v>3.8</v>
      </c>
      <c r="C57" s="36">
        <v>2.6</v>
      </c>
      <c r="D57" s="41">
        <v>35.6</v>
      </c>
      <c r="E57" s="41" t="s">
        <v>125</v>
      </c>
    </row>
    <row r="58" spans="1:5" ht="15" customHeight="1">
      <c r="A58" s="38" t="s">
        <v>78</v>
      </c>
      <c r="B58" s="36">
        <v>4</v>
      </c>
      <c r="C58" s="36">
        <v>2.6</v>
      </c>
      <c r="D58" s="41">
        <v>37.299999999999997</v>
      </c>
      <c r="E58" s="41" t="s">
        <v>126</v>
      </c>
    </row>
    <row r="59" spans="1:5" ht="15" customHeight="1"/>
    <row r="60" spans="1:5" ht="15" customHeight="1">
      <c r="A60" s="37" t="s">
        <v>127</v>
      </c>
    </row>
    <row r="61" spans="1:5" ht="15.75" customHeight="1">
      <c r="A61" s="38" t="s">
        <v>128</v>
      </c>
      <c r="B61" s="36">
        <v>0.85</v>
      </c>
      <c r="C61" s="36">
        <v>3</v>
      </c>
      <c r="D61" s="38">
        <v>9.1</v>
      </c>
      <c r="E61" s="40" t="s">
        <v>129</v>
      </c>
    </row>
    <row r="62" spans="1:5" ht="15.75" customHeight="1">
      <c r="A62" s="38" t="s">
        <v>84</v>
      </c>
      <c r="B62" s="36">
        <v>1</v>
      </c>
      <c r="C62" s="36">
        <v>3</v>
      </c>
      <c r="D62" s="38">
        <v>10.199999999999999</v>
      </c>
      <c r="E62" s="41" t="s">
        <v>130</v>
      </c>
    </row>
    <row r="63" spans="1:5" ht="15.75" customHeight="1">
      <c r="A63" s="38" t="s">
        <v>86</v>
      </c>
      <c r="B63" s="36">
        <v>1.2</v>
      </c>
      <c r="C63" s="36">
        <v>3</v>
      </c>
      <c r="D63" s="38">
        <v>11.8</v>
      </c>
      <c r="E63" s="41" t="s">
        <v>131</v>
      </c>
    </row>
    <row r="64" spans="1:5" ht="15.75" customHeight="1">
      <c r="A64" s="38" t="s">
        <v>88</v>
      </c>
      <c r="B64" s="36">
        <v>1.4</v>
      </c>
      <c r="C64" s="36">
        <v>3</v>
      </c>
      <c r="D64" s="38">
        <v>13.4</v>
      </c>
      <c r="E64" s="41" t="s">
        <v>132</v>
      </c>
    </row>
    <row r="65" spans="1:7" ht="15.75" customHeight="1">
      <c r="A65" s="38" t="s">
        <v>90</v>
      </c>
      <c r="B65" s="36">
        <v>1.6</v>
      </c>
      <c r="C65" s="36">
        <v>3</v>
      </c>
      <c r="D65" s="38">
        <v>15.8</v>
      </c>
      <c r="E65" s="41" t="s">
        <v>133</v>
      </c>
    </row>
    <row r="66" spans="1:7" ht="15.75" customHeight="1">
      <c r="A66" s="38" t="s">
        <v>92</v>
      </c>
      <c r="B66" s="36">
        <v>1.8</v>
      </c>
      <c r="C66" s="36">
        <v>3</v>
      </c>
      <c r="D66" s="38">
        <v>17.399999999999999</v>
      </c>
      <c r="E66" s="41" t="s">
        <v>134</v>
      </c>
    </row>
    <row r="67" spans="1:7" ht="15.75" customHeight="1">
      <c r="A67" s="38" t="s">
        <v>94</v>
      </c>
      <c r="B67" s="36">
        <v>2</v>
      </c>
      <c r="C67" s="36">
        <v>3</v>
      </c>
      <c r="D67" s="38">
        <v>19.7</v>
      </c>
      <c r="E67" s="41" t="s">
        <v>135</v>
      </c>
    </row>
    <row r="68" spans="1:7" ht="15.75" customHeight="1">
      <c r="A68" s="38" t="s">
        <v>96</v>
      </c>
      <c r="B68" s="36">
        <v>2.2000000000000002</v>
      </c>
      <c r="C68" s="36">
        <v>3</v>
      </c>
      <c r="D68" s="38">
        <v>21.3</v>
      </c>
      <c r="E68" s="41" t="s">
        <v>136</v>
      </c>
    </row>
    <row r="69" spans="1:7" ht="15.75" customHeight="1">
      <c r="A69" s="38" t="s">
        <v>98</v>
      </c>
      <c r="B69" s="36">
        <v>2.4</v>
      </c>
      <c r="C69" s="36">
        <v>3</v>
      </c>
      <c r="D69" s="38">
        <v>23.7</v>
      </c>
      <c r="E69" s="41" t="s">
        <v>137</v>
      </c>
    </row>
    <row r="70" spans="1:7" ht="15" customHeight="1">
      <c r="A70" s="38" t="s">
        <v>100</v>
      </c>
      <c r="B70" s="36">
        <v>2.6</v>
      </c>
      <c r="C70" s="36">
        <v>3</v>
      </c>
      <c r="D70" s="38">
        <v>25.2</v>
      </c>
      <c r="E70" s="41" t="s">
        <v>138</v>
      </c>
      <c r="F70" s="47"/>
      <c r="G70" s="47"/>
    </row>
    <row r="71" spans="1:7" ht="15" customHeight="1">
      <c r="A71" s="38" t="s">
        <v>60</v>
      </c>
      <c r="B71" s="36">
        <v>2.8</v>
      </c>
      <c r="C71" s="36">
        <v>2.6</v>
      </c>
      <c r="D71" s="38">
        <v>22.9</v>
      </c>
      <c r="E71" s="41" t="s">
        <v>139</v>
      </c>
      <c r="F71" s="48"/>
      <c r="G71" s="49"/>
    </row>
    <row r="72" spans="1:7" ht="15" customHeight="1">
      <c r="A72" s="38" t="s">
        <v>63</v>
      </c>
      <c r="B72" s="36">
        <v>3</v>
      </c>
      <c r="C72" s="36">
        <v>2.6</v>
      </c>
      <c r="D72" s="38">
        <v>24.2</v>
      </c>
      <c r="E72" s="41" t="s">
        <v>140</v>
      </c>
      <c r="F72" s="48"/>
      <c r="G72" s="49"/>
    </row>
    <row r="73" spans="1:7" ht="15" customHeight="1">
      <c r="A73" s="38" t="s">
        <v>66</v>
      </c>
      <c r="B73" s="36">
        <v>3.2</v>
      </c>
      <c r="C73" s="36">
        <v>2.6</v>
      </c>
      <c r="D73" s="38">
        <v>25.6</v>
      </c>
      <c r="E73" s="41" t="s">
        <v>141</v>
      </c>
      <c r="F73" s="48"/>
      <c r="G73" s="49"/>
    </row>
    <row r="74" spans="1:7" ht="15" customHeight="1">
      <c r="A74" s="38" t="s">
        <v>69</v>
      </c>
      <c r="B74" s="36">
        <v>3.4</v>
      </c>
      <c r="C74" s="36">
        <v>2.6</v>
      </c>
      <c r="D74" s="38">
        <v>26.9</v>
      </c>
      <c r="E74" s="41" t="s">
        <v>142</v>
      </c>
      <c r="F74" s="48"/>
      <c r="G74" s="49"/>
    </row>
    <row r="75" spans="1:7" ht="15" customHeight="1">
      <c r="A75" s="38" t="s">
        <v>72</v>
      </c>
      <c r="B75" s="36">
        <v>3.6</v>
      </c>
      <c r="C75" s="36">
        <v>2.6</v>
      </c>
      <c r="D75" s="38">
        <v>28.2</v>
      </c>
      <c r="E75" s="41" t="s">
        <v>143</v>
      </c>
      <c r="F75" s="48"/>
      <c r="G75" s="49"/>
    </row>
    <row r="76" spans="1:7" ht="15" customHeight="1">
      <c r="A76" s="38" t="s">
        <v>75</v>
      </c>
      <c r="B76" s="36">
        <v>3.8</v>
      </c>
      <c r="C76" s="36">
        <v>2.6</v>
      </c>
      <c r="D76" s="38">
        <v>29.6</v>
      </c>
      <c r="E76" s="41" t="s">
        <v>144</v>
      </c>
      <c r="F76" s="50"/>
      <c r="G76" s="51"/>
    </row>
    <row r="77" spans="1:7" ht="15" customHeight="1">
      <c r="A77" s="38" t="s">
        <v>78</v>
      </c>
      <c r="B77" s="36">
        <v>4</v>
      </c>
      <c r="C77" s="36">
        <v>2.6</v>
      </c>
      <c r="D77" s="38">
        <v>30.9</v>
      </c>
      <c r="E77" s="41" t="s">
        <v>145</v>
      </c>
      <c r="F77" s="52"/>
      <c r="G77" s="51"/>
    </row>
    <row r="78" spans="1:7" ht="15" customHeight="1">
      <c r="A78" s="50"/>
      <c r="D78" s="50"/>
      <c r="E78" s="50"/>
      <c r="F78" s="52"/>
      <c r="G78" s="51"/>
    </row>
    <row r="79" spans="1:7" ht="15" customHeight="1">
      <c r="A79" s="111" t="s">
        <v>146</v>
      </c>
      <c r="B79" s="112"/>
      <c r="C79" s="112"/>
      <c r="F79" s="52"/>
      <c r="G79" s="51"/>
    </row>
    <row r="80" spans="1:7" ht="15" customHeight="1">
      <c r="A80" s="38" t="s">
        <v>128</v>
      </c>
      <c r="B80" s="36">
        <v>0.85</v>
      </c>
      <c r="C80" s="36">
        <v>3</v>
      </c>
      <c r="D80" s="38">
        <v>7.4</v>
      </c>
      <c r="E80" s="40" t="s">
        <v>147</v>
      </c>
      <c r="F80" s="52"/>
      <c r="G80" s="51"/>
    </row>
    <row r="81" spans="1:7" ht="15" customHeight="1">
      <c r="A81" s="38" t="s">
        <v>84</v>
      </c>
      <c r="B81" s="36">
        <v>1</v>
      </c>
      <c r="C81" s="36">
        <v>3</v>
      </c>
      <c r="D81" s="38">
        <v>8.3000000000000007</v>
      </c>
      <c r="E81" s="41" t="s">
        <v>148</v>
      </c>
      <c r="F81" s="52"/>
      <c r="G81" s="51"/>
    </row>
    <row r="82" spans="1:7" ht="15" customHeight="1">
      <c r="A82" s="38" t="s">
        <v>86</v>
      </c>
      <c r="B82" s="36">
        <v>1.2</v>
      </c>
      <c r="C82" s="36">
        <v>3</v>
      </c>
      <c r="D82" s="38">
        <v>9.5</v>
      </c>
      <c r="E82" s="41" t="s">
        <v>149</v>
      </c>
      <c r="F82" s="52"/>
      <c r="G82" s="51"/>
    </row>
    <row r="83" spans="1:7" ht="15" customHeight="1">
      <c r="A83" s="38" t="s">
        <v>88</v>
      </c>
      <c r="B83" s="36">
        <v>1.4</v>
      </c>
      <c r="C83" s="36">
        <v>3</v>
      </c>
      <c r="D83" s="38">
        <v>10.6</v>
      </c>
      <c r="E83" s="41" t="s">
        <v>150</v>
      </c>
      <c r="F83" s="52"/>
      <c r="G83" s="51"/>
    </row>
    <row r="84" spans="1:7" ht="15" customHeight="1">
      <c r="A84" s="38" t="s">
        <v>90</v>
      </c>
      <c r="B84" s="36">
        <v>1.6</v>
      </c>
      <c r="C84" s="36">
        <v>3</v>
      </c>
      <c r="D84" s="38">
        <v>12.6</v>
      </c>
      <c r="E84" s="41" t="s">
        <v>151</v>
      </c>
      <c r="F84" s="52"/>
      <c r="G84" s="51"/>
    </row>
    <row r="85" spans="1:7" ht="15.75" customHeight="1">
      <c r="A85" s="38" t="s">
        <v>92</v>
      </c>
      <c r="B85" s="36">
        <v>1.8</v>
      </c>
      <c r="C85" s="36">
        <v>3</v>
      </c>
      <c r="D85" s="38">
        <v>13.8</v>
      </c>
      <c r="E85" s="41" t="s">
        <v>152</v>
      </c>
    </row>
    <row r="86" spans="1:7" ht="15.75" customHeight="1">
      <c r="A86" s="38" t="s">
        <v>94</v>
      </c>
      <c r="B86" s="36">
        <v>2</v>
      </c>
      <c r="C86" s="36">
        <v>3</v>
      </c>
      <c r="D86" s="38">
        <v>15.8</v>
      </c>
      <c r="E86" s="41" t="s">
        <v>153</v>
      </c>
    </row>
    <row r="87" spans="1:7" ht="15.75" customHeight="1">
      <c r="A87" s="38" t="s">
        <v>96</v>
      </c>
      <c r="B87" s="36">
        <v>2.2000000000000002</v>
      </c>
      <c r="C87" s="36">
        <v>3</v>
      </c>
      <c r="D87" s="38">
        <v>17</v>
      </c>
      <c r="E87" s="41" t="s">
        <v>154</v>
      </c>
    </row>
    <row r="88" spans="1:7" ht="15.75" customHeight="1">
      <c r="A88" s="38" t="s">
        <v>98</v>
      </c>
      <c r="B88" s="36">
        <v>2.4</v>
      </c>
      <c r="C88" s="36">
        <v>3</v>
      </c>
      <c r="D88" s="38">
        <v>18.899999999999999</v>
      </c>
      <c r="E88" s="41" t="s">
        <v>155</v>
      </c>
    </row>
    <row r="89" spans="1:7" ht="15.75" customHeight="1">
      <c r="A89" s="38" t="s">
        <v>100</v>
      </c>
      <c r="B89" s="36">
        <v>2.6</v>
      </c>
      <c r="C89" s="36">
        <v>3</v>
      </c>
      <c r="D89" s="38">
        <v>20.100000000000001</v>
      </c>
      <c r="E89" s="41" t="s">
        <v>156</v>
      </c>
    </row>
    <row r="90" spans="1:7" ht="15.75" customHeight="1">
      <c r="A90" s="38" t="s">
        <v>60</v>
      </c>
      <c r="B90" s="36">
        <v>2.8</v>
      </c>
      <c r="C90" s="36">
        <v>2.6</v>
      </c>
      <c r="D90" s="38">
        <v>18.399999999999999</v>
      </c>
      <c r="E90" s="41" t="s">
        <v>157</v>
      </c>
    </row>
    <row r="91" spans="1:7" ht="15.75" customHeight="1">
      <c r="A91" s="38" t="s">
        <v>63</v>
      </c>
      <c r="B91" s="36">
        <v>3</v>
      </c>
      <c r="C91" s="36">
        <v>2.6</v>
      </c>
      <c r="D91" s="38">
        <v>19.5</v>
      </c>
      <c r="E91" s="41" t="s">
        <v>158</v>
      </c>
    </row>
    <row r="92" spans="1:7" ht="15.75" customHeight="1">
      <c r="A92" s="38" t="s">
        <v>66</v>
      </c>
      <c r="B92" s="36">
        <v>3.2</v>
      </c>
      <c r="C92" s="36">
        <v>2.6</v>
      </c>
      <c r="D92" s="38">
        <v>20.5</v>
      </c>
      <c r="E92" s="41" t="s">
        <v>159</v>
      </c>
    </row>
    <row r="93" spans="1:7" ht="15.75" customHeight="1">
      <c r="A93" s="38" t="s">
        <v>69</v>
      </c>
      <c r="B93" s="36">
        <v>3.4</v>
      </c>
      <c r="C93" s="36">
        <v>2.6</v>
      </c>
      <c r="D93" s="38">
        <v>21.5</v>
      </c>
      <c r="E93" s="41" t="s">
        <v>160</v>
      </c>
    </row>
    <row r="94" spans="1:7" ht="15.75" customHeight="1">
      <c r="A94" s="38" t="s">
        <v>72</v>
      </c>
      <c r="B94" s="36">
        <v>3.6</v>
      </c>
      <c r="C94" s="36">
        <v>2.6</v>
      </c>
      <c r="D94" s="38">
        <v>22.6</v>
      </c>
      <c r="E94" s="41" t="s">
        <v>161</v>
      </c>
    </row>
    <row r="95" spans="1:7" ht="15.75" customHeight="1">
      <c r="A95" s="38" t="s">
        <v>75</v>
      </c>
      <c r="B95" s="36">
        <v>3.8</v>
      </c>
      <c r="C95" s="36">
        <v>2.6</v>
      </c>
      <c r="D95" s="38">
        <v>23.6</v>
      </c>
      <c r="E95" s="41" t="s">
        <v>162</v>
      </c>
    </row>
    <row r="96" spans="1:7" ht="15.75" customHeight="1">
      <c r="A96" s="38" t="s">
        <v>78</v>
      </c>
      <c r="B96" s="36">
        <v>4</v>
      </c>
      <c r="C96" s="36">
        <v>2.6</v>
      </c>
      <c r="D96" s="38">
        <v>24.6</v>
      </c>
      <c r="E96" s="41" t="s">
        <v>163</v>
      </c>
    </row>
    <row r="97" spans="1:5" ht="15.75" customHeight="1"/>
    <row r="98" spans="1:5" ht="15.75" customHeight="1">
      <c r="A98" s="37" t="s">
        <v>164</v>
      </c>
    </row>
    <row r="99" spans="1:5" ht="15.75" customHeight="1">
      <c r="A99" s="38" t="s">
        <v>128</v>
      </c>
      <c r="B99" s="36">
        <v>0.85</v>
      </c>
      <c r="C99" s="36">
        <v>3</v>
      </c>
      <c r="D99" s="38">
        <v>5.7</v>
      </c>
      <c r="E99" s="40" t="s">
        <v>165</v>
      </c>
    </row>
    <row r="100" spans="1:5" ht="15.75" customHeight="1">
      <c r="A100" s="38" t="s">
        <v>84</v>
      </c>
      <c r="B100" s="36">
        <v>1</v>
      </c>
      <c r="C100" s="36">
        <v>3</v>
      </c>
      <c r="D100" s="38">
        <v>6.3</v>
      </c>
      <c r="E100" s="41" t="s">
        <v>166</v>
      </c>
    </row>
    <row r="101" spans="1:5" ht="15.75" customHeight="1">
      <c r="A101" s="38" t="s">
        <v>86</v>
      </c>
      <c r="B101" s="36">
        <v>1.2</v>
      </c>
      <c r="C101" s="36">
        <v>3</v>
      </c>
      <c r="D101" s="38">
        <v>7.1</v>
      </c>
      <c r="E101" s="41" t="s">
        <v>167</v>
      </c>
    </row>
    <row r="102" spans="1:5" ht="15.75" customHeight="1">
      <c r="A102" s="38" t="s">
        <v>88</v>
      </c>
      <c r="B102" s="36">
        <v>1.4</v>
      </c>
      <c r="C102" s="36">
        <v>3</v>
      </c>
      <c r="D102" s="38">
        <v>7.9</v>
      </c>
      <c r="E102" s="41" t="s">
        <v>168</v>
      </c>
    </row>
    <row r="103" spans="1:5" ht="15.75" customHeight="1">
      <c r="A103" s="38" t="s">
        <v>90</v>
      </c>
      <c r="B103" s="36">
        <v>1.6</v>
      </c>
      <c r="C103" s="36">
        <v>3</v>
      </c>
      <c r="D103" s="38">
        <v>9.5</v>
      </c>
      <c r="E103" s="41" t="s">
        <v>169</v>
      </c>
    </row>
    <row r="104" spans="1:5" ht="15.75" customHeight="1">
      <c r="A104" s="38" t="s">
        <v>92</v>
      </c>
      <c r="B104" s="36">
        <v>1.8</v>
      </c>
      <c r="C104" s="36">
        <v>3</v>
      </c>
      <c r="D104" s="38">
        <v>10.199999999999999</v>
      </c>
      <c r="E104" s="41" t="s">
        <v>170</v>
      </c>
    </row>
    <row r="105" spans="1:5" ht="15.75" customHeight="1">
      <c r="A105" s="38" t="s">
        <v>94</v>
      </c>
      <c r="B105" s="36">
        <v>2</v>
      </c>
      <c r="C105" s="36">
        <v>3</v>
      </c>
      <c r="D105" s="38">
        <v>11.8</v>
      </c>
      <c r="E105" s="41" t="s">
        <v>171</v>
      </c>
    </row>
    <row r="106" spans="1:5" ht="15.75" customHeight="1">
      <c r="A106" s="38" t="s">
        <v>96</v>
      </c>
      <c r="B106" s="36">
        <v>2.2000000000000002</v>
      </c>
      <c r="C106" s="36">
        <v>3</v>
      </c>
      <c r="D106" s="38">
        <v>12.6</v>
      </c>
      <c r="E106" s="41" t="s">
        <v>172</v>
      </c>
    </row>
    <row r="107" spans="1:5" ht="15.75" customHeight="1">
      <c r="A107" s="38" t="s">
        <v>98</v>
      </c>
      <c r="B107" s="36">
        <v>2.4</v>
      </c>
      <c r="C107" s="36">
        <v>3</v>
      </c>
      <c r="D107" s="38">
        <v>14.2</v>
      </c>
      <c r="E107" s="41" t="s">
        <v>173</v>
      </c>
    </row>
    <row r="108" spans="1:5" ht="15.75" customHeight="1">
      <c r="A108" s="38" t="s">
        <v>100</v>
      </c>
      <c r="B108" s="36">
        <v>2.6</v>
      </c>
      <c r="C108" s="36">
        <v>3</v>
      </c>
      <c r="D108" s="38">
        <v>15</v>
      </c>
      <c r="E108" s="41" t="s">
        <v>174</v>
      </c>
    </row>
    <row r="109" spans="1:5" ht="15.75" customHeight="1">
      <c r="A109" s="38" t="s">
        <v>60</v>
      </c>
      <c r="B109" s="36">
        <v>2.8</v>
      </c>
      <c r="C109" s="36">
        <v>2.6</v>
      </c>
      <c r="D109" s="38">
        <v>14</v>
      </c>
      <c r="E109" s="41" t="s">
        <v>175</v>
      </c>
    </row>
    <row r="110" spans="1:5" ht="15.75" customHeight="1">
      <c r="A110" s="38" t="s">
        <v>63</v>
      </c>
      <c r="B110" s="36">
        <v>3</v>
      </c>
      <c r="C110" s="36">
        <v>2.6</v>
      </c>
      <c r="D110" s="38">
        <v>14.7</v>
      </c>
      <c r="E110" s="41" t="s">
        <v>176</v>
      </c>
    </row>
    <row r="111" spans="1:5" ht="15.75" customHeight="1">
      <c r="A111" s="38" t="s">
        <v>66</v>
      </c>
      <c r="B111" s="36">
        <v>3.2</v>
      </c>
      <c r="C111" s="36">
        <v>2.6</v>
      </c>
      <c r="D111" s="38">
        <v>15.4</v>
      </c>
      <c r="E111" s="41" t="s">
        <v>177</v>
      </c>
    </row>
    <row r="112" spans="1:5" ht="15.75" customHeight="1">
      <c r="A112" s="38" t="s">
        <v>69</v>
      </c>
      <c r="B112" s="36">
        <v>3.4</v>
      </c>
      <c r="C112" s="36">
        <v>2.6</v>
      </c>
      <c r="D112" s="38">
        <v>16.2</v>
      </c>
      <c r="E112" s="41" t="s">
        <v>178</v>
      </c>
    </row>
    <row r="113" spans="1:5" ht="15.75" customHeight="1">
      <c r="A113" s="38" t="s">
        <v>72</v>
      </c>
      <c r="B113" s="36">
        <v>3.6</v>
      </c>
      <c r="C113" s="36">
        <v>2.6</v>
      </c>
      <c r="D113" s="38">
        <v>16.899999999999999</v>
      </c>
      <c r="E113" s="41" t="s">
        <v>179</v>
      </c>
    </row>
    <row r="114" spans="1:5" ht="15.75" customHeight="1">
      <c r="A114" s="38" t="s">
        <v>75</v>
      </c>
      <c r="B114" s="36">
        <v>3.8</v>
      </c>
      <c r="C114" s="36">
        <v>2.6</v>
      </c>
      <c r="D114" s="38">
        <v>17.600000000000001</v>
      </c>
      <c r="E114" s="41" t="s">
        <v>180</v>
      </c>
    </row>
    <row r="115" spans="1:5" ht="15.75" customHeight="1">
      <c r="A115" s="38" t="s">
        <v>78</v>
      </c>
      <c r="B115" s="36">
        <v>4</v>
      </c>
      <c r="C115" s="36">
        <v>2.6</v>
      </c>
      <c r="D115" s="38">
        <v>18.3</v>
      </c>
      <c r="E115" s="41" t="s">
        <v>181</v>
      </c>
    </row>
    <row r="116" spans="1:5" ht="15.75" customHeight="1"/>
    <row r="117" spans="1:5" ht="15.75" customHeight="1">
      <c r="A117" s="53" t="s">
        <v>182</v>
      </c>
      <c r="D117" s="43"/>
      <c r="E117" s="43"/>
    </row>
    <row r="118" spans="1:5" ht="15.75" customHeight="1">
      <c r="A118" s="54" t="s">
        <v>33</v>
      </c>
      <c r="B118" s="36">
        <v>0.8</v>
      </c>
      <c r="C118" s="36">
        <v>2.6</v>
      </c>
      <c r="D118" s="41">
        <v>19.3</v>
      </c>
      <c r="E118" s="41" t="s">
        <v>183</v>
      </c>
    </row>
    <row r="119" spans="1:5" ht="15.75" customHeight="1">
      <c r="A119" s="54" t="s">
        <v>35</v>
      </c>
      <c r="B119" s="36">
        <v>1</v>
      </c>
      <c r="C119" s="36">
        <v>2.6</v>
      </c>
      <c r="D119" s="41">
        <v>22.4</v>
      </c>
      <c r="E119" s="41" t="s">
        <v>184</v>
      </c>
    </row>
    <row r="120" spans="1:5" ht="15.75" customHeight="1">
      <c r="A120" s="38" t="s">
        <v>37</v>
      </c>
      <c r="B120" s="36">
        <v>1.2</v>
      </c>
      <c r="C120" s="36">
        <v>2.6</v>
      </c>
      <c r="D120" s="55">
        <v>26.5</v>
      </c>
      <c r="E120" s="40" t="s">
        <v>185</v>
      </c>
    </row>
    <row r="121" spans="1:5" ht="15.75" customHeight="1">
      <c r="A121" s="38" t="s">
        <v>39</v>
      </c>
      <c r="B121" s="36">
        <v>1.4</v>
      </c>
      <c r="C121" s="36">
        <v>2.6</v>
      </c>
      <c r="D121" s="38">
        <v>30.5</v>
      </c>
      <c r="E121" s="41" t="s">
        <v>186</v>
      </c>
    </row>
    <row r="122" spans="1:5" ht="15.75" customHeight="1">
      <c r="A122" s="38" t="s">
        <v>43</v>
      </c>
      <c r="B122" s="36">
        <v>1.6</v>
      </c>
      <c r="C122" s="36">
        <v>2.6</v>
      </c>
      <c r="D122" s="38">
        <v>35.299999999999997</v>
      </c>
      <c r="E122" s="41" t="s">
        <v>187</v>
      </c>
    </row>
    <row r="123" spans="1:5" ht="15.75" customHeight="1">
      <c r="A123" s="38" t="s">
        <v>46</v>
      </c>
      <c r="B123" s="36">
        <v>1.8</v>
      </c>
      <c r="C123" s="36">
        <v>2.6</v>
      </c>
      <c r="D123" s="38">
        <v>39.4</v>
      </c>
      <c r="E123" s="41" t="s">
        <v>188</v>
      </c>
    </row>
    <row r="124" spans="1:5" ht="15.75" customHeight="1">
      <c r="A124" s="38" t="s">
        <v>49</v>
      </c>
      <c r="B124" s="36">
        <v>2</v>
      </c>
      <c r="C124" s="36">
        <v>2.6</v>
      </c>
      <c r="D124" s="38">
        <v>44.1</v>
      </c>
      <c r="E124" s="41" t="s">
        <v>189</v>
      </c>
    </row>
    <row r="125" spans="1:5" ht="15.75" customHeight="1">
      <c r="A125" s="38" t="s">
        <v>52</v>
      </c>
      <c r="B125" s="36">
        <v>2.2000000000000002</v>
      </c>
      <c r="C125" s="36">
        <v>2.6</v>
      </c>
      <c r="D125" s="38">
        <v>48.2</v>
      </c>
      <c r="E125" s="41" t="s">
        <v>190</v>
      </c>
    </row>
    <row r="126" spans="1:5" ht="15.75" customHeight="1">
      <c r="A126" s="38" t="s">
        <v>55</v>
      </c>
      <c r="B126" s="36">
        <v>2.4</v>
      </c>
      <c r="C126" s="36">
        <v>2.6</v>
      </c>
      <c r="D126" s="38">
        <v>52.9</v>
      </c>
      <c r="E126" s="41" t="s">
        <v>191</v>
      </c>
    </row>
    <row r="127" spans="1:5" ht="15.75" customHeight="1">
      <c r="A127" s="38" t="s">
        <v>58</v>
      </c>
      <c r="B127" s="36">
        <v>2.6</v>
      </c>
      <c r="C127" s="36">
        <v>2.6</v>
      </c>
      <c r="D127" s="38">
        <v>57</v>
      </c>
      <c r="E127" s="41" t="s">
        <v>192</v>
      </c>
    </row>
    <row r="128" spans="1:5" ht="15.75" customHeight="1">
      <c r="A128" s="38" t="s">
        <v>60</v>
      </c>
      <c r="B128" s="36">
        <v>2.8</v>
      </c>
      <c r="C128" s="36">
        <v>2.6</v>
      </c>
      <c r="D128" s="38">
        <v>61.1</v>
      </c>
      <c r="E128" s="41" t="s">
        <v>193</v>
      </c>
    </row>
    <row r="129" spans="1:7" ht="15.75" customHeight="1">
      <c r="A129" s="38" t="s">
        <v>63</v>
      </c>
      <c r="B129" s="36">
        <v>3</v>
      </c>
      <c r="C129" s="36">
        <v>2.6</v>
      </c>
      <c r="D129" s="38">
        <v>65.2</v>
      </c>
      <c r="E129" s="41" t="s">
        <v>194</v>
      </c>
    </row>
    <row r="130" spans="1:7" ht="15.75" customHeight="1">
      <c r="A130" s="38" t="s">
        <v>66</v>
      </c>
      <c r="B130" s="36">
        <v>3.2</v>
      </c>
      <c r="C130" s="36">
        <v>2.6</v>
      </c>
      <c r="D130" s="38">
        <v>69.2</v>
      </c>
      <c r="E130" s="41" t="s">
        <v>195</v>
      </c>
    </row>
    <row r="131" spans="1:7" ht="15.75" customHeight="1">
      <c r="A131" s="38" t="s">
        <v>69</v>
      </c>
      <c r="B131" s="36">
        <v>3.4</v>
      </c>
      <c r="C131" s="36">
        <v>2.6</v>
      </c>
      <c r="D131" s="38">
        <v>73.3</v>
      </c>
      <c r="E131" s="41" t="s">
        <v>196</v>
      </c>
    </row>
    <row r="132" spans="1:7" ht="15.75" customHeight="1">
      <c r="A132" s="38" t="s">
        <v>72</v>
      </c>
      <c r="B132" s="36">
        <v>3.6</v>
      </c>
      <c r="C132" s="36">
        <v>2.6</v>
      </c>
      <c r="D132" s="38">
        <v>77.400000000000006</v>
      </c>
      <c r="E132" s="41" t="s">
        <v>197</v>
      </c>
    </row>
    <row r="133" spans="1:7" ht="15.75" customHeight="1">
      <c r="A133" s="38" t="s">
        <v>75</v>
      </c>
      <c r="B133" s="36">
        <v>3.8</v>
      </c>
      <c r="C133" s="36">
        <v>2.6</v>
      </c>
      <c r="D133" s="38">
        <v>81.400000000000006</v>
      </c>
      <c r="E133" s="41" t="s">
        <v>198</v>
      </c>
    </row>
    <row r="134" spans="1:7" ht="15.75" customHeight="1">
      <c r="A134" s="38" t="s">
        <v>78</v>
      </c>
      <c r="B134" s="36">
        <v>4</v>
      </c>
      <c r="C134" s="36">
        <v>2.6</v>
      </c>
      <c r="D134" s="38">
        <v>85.5</v>
      </c>
      <c r="E134" s="41" t="s">
        <v>199</v>
      </c>
    </row>
    <row r="135" spans="1:7" ht="15.75" customHeight="1"/>
    <row r="136" spans="1:7" ht="15.75" customHeight="1">
      <c r="A136" s="53" t="s">
        <v>26</v>
      </c>
      <c r="D136" s="43"/>
      <c r="E136" s="43"/>
      <c r="F136" s="60"/>
      <c r="G136" s="60"/>
    </row>
    <row r="137" spans="1:7" ht="15.75" customHeight="1">
      <c r="A137" s="56" t="s">
        <v>82</v>
      </c>
      <c r="B137" s="57">
        <v>0.8</v>
      </c>
      <c r="C137" s="57">
        <v>3</v>
      </c>
      <c r="D137" s="58">
        <v>18.100000000000001</v>
      </c>
      <c r="E137" s="58" t="s">
        <v>200</v>
      </c>
    </row>
    <row r="138" spans="1:7" ht="15.75" customHeight="1">
      <c r="A138" s="38" t="s">
        <v>84</v>
      </c>
      <c r="B138" s="36">
        <v>1</v>
      </c>
      <c r="C138" s="36">
        <v>3</v>
      </c>
      <c r="D138" s="41">
        <v>21.4</v>
      </c>
      <c r="E138" s="41" t="s">
        <v>201</v>
      </c>
    </row>
    <row r="139" spans="1:7" ht="15.75" customHeight="1">
      <c r="A139" s="55" t="s">
        <v>86</v>
      </c>
      <c r="B139" s="36">
        <v>1.2</v>
      </c>
      <c r="C139" s="36">
        <v>3</v>
      </c>
      <c r="D139" s="55">
        <v>24.5</v>
      </c>
      <c r="E139" s="40" t="s">
        <v>202</v>
      </c>
    </row>
    <row r="140" spans="1:7" ht="15.75" customHeight="1">
      <c r="A140" s="38" t="s">
        <v>88</v>
      </c>
      <c r="B140" s="36">
        <v>1.4</v>
      </c>
      <c r="C140" s="36">
        <v>3</v>
      </c>
      <c r="D140" s="38">
        <v>28.2</v>
      </c>
      <c r="E140" s="41" t="s">
        <v>203</v>
      </c>
    </row>
    <row r="141" spans="1:7" ht="15.75" customHeight="1">
      <c r="A141" s="38" t="s">
        <v>90</v>
      </c>
      <c r="B141" s="36">
        <v>1.6</v>
      </c>
      <c r="C141" s="36">
        <v>3</v>
      </c>
      <c r="D141" s="38">
        <v>32.700000000000003</v>
      </c>
      <c r="E141" s="41" t="s">
        <v>204</v>
      </c>
    </row>
    <row r="142" spans="1:7" ht="15.75" customHeight="1">
      <c r="A142" s="38" t="s">
        <v>92</v>
      </c>
      <c r="B142" s="36">
        <v>1.8</v>
      </c>
      <c r="C142" s="36">
        <v>3</v>
      </c>
      <c r="D142" s="38">
        <v>36.4</v>
      </c>
      <c r="E142" s="41" t="s">
        <v>205</v>
      </c>
    </row>
    <row r="143" spans="1:7" ht="15.75" customHeight="1">
      <c r="A143" s="38" t="s">
        <v>94</v>
      </c>
      <c r="B143" s="36">
        <v>2</v>
      </c>
      <c r="C143" s="36">
        <v>3</v>
      </c>
      <c r="D143" s="38">
        <v>40.9</v>
      </c>
      <c r="E143" s="41" t="s">
        <v>206</v>
      </c>
    </row>
    <row r="144" spans="1:7" ht="15.75" customHeight="1">
      <c r="A144" s="38" t="s">
        <v>96</v>
      </c>
      <c r="B144" s="36">
        <v>2.2000000000000002</v>
      </c>
      <c r="C144" s="36">
        <v>3</v>
      </c>
      <c r="D144" s="38">
        <v>44.6</v>
      </c>
      <c r="E144" s="41" t="s">
        <v>207</v>
      </c>
    </row>
    <row r="145" spans="1:7" ht="15.75" customHeight="1">
      <c r="A145" s="38" t="s">
        <v>98</v>
      </c>
      <c r="B145" s="36">
        <v>2.4</v>
      </c>
      <c r="C145" s="36">
        <v>3</v>
      </c>
      <c r="D145" s="38">
        <v>49.1</v>
      </c>
      <c r="E145" s="41" t="s">
        <v>208</v>
      </c>
    </row>
    <row r="146" spans="1:7" ht="15.75" customHeight="1">
      <c r="A146" s="38" t="s">
        <v>100</v>
      </c>
      <c r="B146" s="36">
        <v>2.6</v>
      </c>
      <c r="C146" s="36">
        <v>3</v>
      </c>
      <c r="D146" s="38">
        <v>52.8</v>
      </c>
      <c r="E146" s="41" t="s">
        <v>209</v>
      </c>
    </row>
    <row r="147" spans="1:7" ht="15.75" customHeight="1">
      <c r="A147" s="38" t="s">
        <v>60</v>
      </c>
      <c r="B147" s="36">
        <v>2.8</v>
      </c>
      <c r="C147" s="36">
        <v>2.6</v>
      </c>
      <c r="D147" s="38">
        <v>49</v>
      </c>
      <c r="E147" s="41" t="s">
        <v>210</v>
      </c>
    </row>
    <row r="148" spans="1:7" ht="15.75" customHeight="1">
      <c r="A148" s="38" t="s">
        <v>63</v>
      </c>
      <c r="B148" s="36">
        <v>3</v>
      </c>
      <c r="C148" s="36">
        <v>2.6</v>
      </c>
      <c r="D148" s="38">
        <v>52.2</v>
      </c>
      <c r="E148" s="41" t="s">
        <v>211</v>
      </c>
    </row>
    <row r="149" spans="1:7" ht="15.75" customHeight="1">
      <c r="A149" s="38" t="s">
        <v>66</v>
      </c>
      <c r="B149" s="36">
        <v>3.2</v>
      </c>
      <c r="C149" s="36">
        <v>2.6</v>
      </c>
      <c r="D149" s="38">
        <v>55.4</v>
      </c>
      <c r="E149" s="41" t="s">
        <v>212</v>
      </c>
    </row>
    <row r="150" spans="1:7" ht="15.75" customHeight="1">
      <c r="A150" s="38" t="s">
        <v>69</v>
      </c>
      <c r="B150" s="36">
        <v>3.4</v>
      </c>
      <c r="C150" s="36">
        <v>2.6</v>
      </c>
      <c r="D150" s="38">
        <v>58.6</v>
      </c>
      <c r="E150" s="41" t="s">
        <v>213</v>
      </c>
    </row>
    <row r="151" spans="1:7" ht="15.75" customHeight="1">
      <c r="A151" s="38" t="s">
        <v>72</v>
      </c>
      <c r="B151" s="36">
        <v>3.6</v>
      </c>
      <c r="C151" s="36">
        <v>2.6</v>
      </c>
      <c r="D151" s="38">
        <v>61.8</v>
      </c>
      <c r="E151" s="41" t="s">
        <v>214</v>
      </c>
    </row>
    <row r="152" spans="1:7" ht="15.75" customHeight="1">
      <c r="A152" s="38" t="s">
        <v>75</v>
      </c>
      <c r="B152" s="36">
        <v>3.8</v>
      </c>
      <c r="C152" s="36">
        <v>2.6</v>
      </c>
      <c r="D152" s="38">
        <v>65</v>
      </c>
      <c r="E152" s="41" t="s">
        <v>215</v>
      </c>
    </row>
    <row r="153" spans="1:7" ht="15.75" customHeight="1">
      <c r="A153" s="38" t="s">
        <v>78</v>
      </c>
      <c r="B153" s="36">
        <v>4</v>
      </c>
      <c r="C153" s="36">
        <v>2.6</v>
      </c>
      <c r="D153" s="38">
        <v>68.2</v>
      </c>
      <c r="E153" s="41" t="s">
        <v>216</v>
      </c>
    </row>
    <row r="154" spans="1:7" ht="15.75" customHeight="1"/>
    <row r="155" spans="1:7" ht="15.75" customHeight="1">
      <c r="A155" s="53" t="s">
        <v>217</v>
      </c>
      <c r="D155" s="43"/>
      <c r="E155" s="43"/>
      <c r="F155" s="60"/>
      <c r="G155" s="60"/>
    </row>
    <row r="156" spans="1:7" ht="15.75" customHeight="1">
      <c r="A156" s="38" t="s">
        <v>84</v>
      </c>
      <c r="B156" s="61">
        <v>1</v>
      </c>
      <c r="C156" s="36">
        <v>3</v>
      </c>
      <c r="D156" s="41">
        <v>17.2</v>
      </c>
      <c r="E156" s="41" t="s">
        <v>218</v>
      </c>
    </row>
    <row r="157" spans="1:7" ht="15.75" customHeight="1">
      <c r="A157" s="55" t="s">
        <v>86</v>
      </c>
      <c r="B157" s="61">
        <v>1.2</v>
      </c>
      <c r="C157" s="36">
        <v>3</v>
      </c>
      <c r="D157" s="55">
        <v>20.100000000000001</v>
      </c>
      <c r="E157" s="40" t="s">
        <v>219</v>
      </c>
    </row>
    <row r="158" spans="1:7" ht="15.75" customHeight="1">
      <c r="A158" s="38" t="s">
        <v>88</v>
      </c>
      <c r="B158" s="61">
        <v>1.4</v>
      </c>
      <c r="C158" s="36">
        <v>3</v>
      </c>
      <c r="D158" s="38">
        <v>23.1</v>
      </c>
      <c r="E158" s="41" t="s">
        <v>220</v>
      </c>
    </row>
    <row r="159" spans="1:7" ht="15.75" customHeight="1">
      <c r="A159" s="38" t="s">
        <v>90</v>
      </c>
      <c r="B159" s="61">
        <v>1.6</v>
      </c>
      <c r="C159" s="36">
        <v>3</v>
      </c>
      <c r="D159" s="38">
        <v>26.8</v>
      </c>
      <c r="E159" s="41" t="s">
        <v>221</v>
      </c>
    </row>
    <row r="160" spans="1:7" ht="15.75" customHeight="1">
      <c r="A160" s="38" t="s">
        <v>92</v>
      </c>
      <c r="B160" s="61">
        <v>1.8</v>
      </c>
      <c r="C160" s="36">
        <v>3</v>
      </c>
      <c r="D160" s="38">
        <v>29.8</v>
      </c>
      <c r="E160" s="41" t="s">
        <v>222</v>
      </c>
    </row>
    <row r="161" spans="1:5" ht="15.75" customHeight="1">
      <c r="A161" s="38" t="s">
        <v>94</v>
      </c>
      <c r="B161" s="61">
        <v>2</v>
      </c>
      <c r="C161" s="36">
        <v>3</v>
      </c>
      <c r="D161" s="38">
        <v>33.5</v>
      </c>
      <c r="E161" s="41" t="s">
        <v>223</v>
      </c>
    </row>
    <row r="162" spans="1:5" ht="15.75" customHeight="1">
      <c r="A162" s="38" t="s">
        <v>96</v>
      </c>
      <c r="B162" s="61">
        <v>2.2000000000000002</v>
      </c>
      <c r="C162" s="36">
        <v>3</v>
      </c>
      <c r="D162" s="38">
        <v>36.5</v>
      </c>
      <c r="E162" s="41" t="s">
        <v>224</v>
      </c>
    </row>
    <row r="163" spans="1:5" ht="15.75" customHeight="1">
      <c r="A163" s="38" t="s">
        <v>98</v>
      </c>
      <c r="B163" s="61">
        <v>2.4</v>
      </c>
      <c r="C163" s="36">
        <v>3</v>
      </c>
      <c r="D163" s="38">
        <v>40.200000000000003</v>
      </c>
      <c r="E163" s="41" t="s">
        <v>225</v>
      </c>
    </row>
    <row r="164" spans="1:5" ht="15.75" customHeight="1">
      <c r="A164" s="38" t="s">
        <v>100</v>
      </c>
      <c r="B164" s="61">
        <v>2.6</v>
      </c>
      <c r="C164" s="36">
        <v>3</v>
      </c>
      <c r="D164" s="38">
        <v>43.2</v>
      </c>
      <c r="E164" s="41" t="s">
        <v>226</v>
      </c>
    </row>
    <row r="165" spans="1:5" ht="15.75" customHeight="1">
      <c r="A165" s="38" t="s">
        <v>60</v>
      </c>
      <c r="B165" s="61">
        <v>2.8</v>
      </c>
      <c r="C165" s="36">
        <v>2.6</v>
      </c>
      <c r="D165" s="38">
        <v>40.299999999999997</v>
      </c>
      <c r="E165" s="41" t="s">
        <v>227</v>
      </c>
    </row>
    <row r="166" spans="1:5" ht="15.75" customHeight="1">
      <c r="A166" s="38" t="s">
        <v>63</v>
      </c>
      <c r="B166" s="61">
        <v>3</v>
      </c>
      <c r="C166" s="36">
        <v>2.6</v>
      </c>
      <c r="D166" s="38">
        <v>42.9</v>
      </c>
      <c r="E166" s="41" t="s">
        <v>228</v>
      </c>
    </row>
    <row r="167" spans="1:5" ht="15.75" customHeight="1">
      <c r="A167" s="38" t="s">
        <v>66</v>
      </c>
      <c r="B167" s="61">
        <v>3.2</v>
      </c>
      <c r="C167" s="36">
        <v>2.6</v>
      </c>
      <c r="D167" s="38">
        <v>45.5</v>
      </c>
      <c r="E167" s="41" t="s">
        <v>229</v>
      </c>
    </row>
    <row r="168" spans="1:5" ht="15.75" customHeight="1">
      <c r="A168" s="38" t="s">
        <v>69</v>
      </c>
      <c r="B168" s="61">
        <v>3.4</v>
      </c>
      <c r="C168" s="36">
        <v>2.6</v>
      </c>
      <c r="D168" s="38">
        <v>48.1</v>
      </c>
      <c r="E168" s="41" t="s">
        <v>230</v>
      </c>
    </row>
    <row r="169" spans="1:5" ht="15.75" customHeight="1">
      <c r="A169" s="38" t="s">
        <v>72</v>
      </c>
      <c r="B169" s="61">
        <v>3.6</v>
      </c>
      <c r="C169" s="36">
        <v>2.6</v>
      </c>
      <c r="D169" s="38">
        <v>50.7</v>
      </c>
      <c r="E169" s="41" t="s">
        <v>231</v>
      </c>
    </row>
    <row r="170" spans="1:5" ht="15.75" customHeight="1">
      <c r="A170" s="38" t="s">
        <v>75</v>
      </c>
      <c r="B170" s="61">
        <v>3.8</v>
      </c>
      <c r="C170" s="36">
        <v>2.6</v>
      </c>
      <c r="D170" s="38">
        <v>53.3</v>
      </c>
      <c r="E170" s="41" t="s">
        <v>232</v>
      </c>
    </row>
    <row r="171" spans="1:5" ht="15.75" customHeight="1">
      <c r="A171" s="38" t="s">
        <v>78</v>
      </c>
      <c r="B171" s="61">
        <v>4</v>
      </c>
      <c r="C171" s="36">
        <v>2.6</v>
      </c>
      <c r="D171" s="38">
        <v>55.9</v>
      </c>
      <c r="E171" s="41" t="s">
        <v>233</v>
      </c>
    </row>
    <row r="172" spans="1:5" ht="15.75" customHeight="1"/>
    <row r="173" spans="1:5" ht="15.75" customHeight="1">
      <c r="A173" s="53" t="s">
        <v>234</v>
      </c>
      <c r="D173" s="43"/>
      <c r="E173" s="43"/>
    </row>
    <row r="174" spans="1:5" ht="15.75" customHeight="1">
      <c r="A174" s="38" t="s">
        <v>128</v>
      </c>
      <c r="B174" s="36">
        <v>0.85</v>
      </c>
      <c r="C174" s="36">
        <v>3</v>
      </c>
      <c r="D174" s="41">
        <v>12.8</v>
      </c>
      <c r="E174" s="41" t="s">
        <v>235</v>
      </c>
    </row>
    <row r="175" spans="1:5" ht="15.75" customHeight="1">
      <c r="A175" s="38" t="s">
        <v>84</v>
      </c>
      <c r="B175" s="36">
        <v>1</v>
      </c>
      <c r="C175" s="36">
        <v>3</v>
      </c>
      <c r="D175" s="41">
        <v>14.7</v>
      </c>
      <c r="E175" s="41" t="s">
        <v>236</v>
      </c>
    </row>
    <row r="176" spans="1:5" ht="15.75" customHeight="1">
      <c r="A176" s="55" t="s">
        <v>86</v>
      </c>
      <c r="B176" s="36">
        <v>1.2</v>
      </c>
      <c r="C176" s="36">
        <v>3</v>
      </c>
      <c r="D176" s="55">
        <v>17.2</v>
      </c>
      <c r="E176" s="40" t="s">
        <v>237</v>
      </c>
    </row>
    <row r="177" spans="1:5" ht="15.75" customHeight="1">
      <c r="A177" s="38" t="s">
        <v>88</v>
      </c>
      <c r="B177" s="36">
        <v>1.4</v>
      </c>
      <c r="C177" s="36">
        <v>3</v>
      </c>
      <c r="D177" s="38">
        <v>19.600000000000001</v>
      </c>
      <c r="E177" s="41" t="s">
        <v>238</v>
      </c>
    </row>
    <row r="178" spans="1:5" ht="15.75" customHeight="1">
      <c r="A178" s="38" t="s">
        <v>90</v>
      </c>
      <c r="B178" s="36">
        <v>1.6</v>
      </c>
      <c r="C178" s="36">
        <v>3</v>
      </c>
      <c r="D178" s="38">
        <v>22.9</v>
      </c>
      <c r="E178" s="41" t="s">
        <v>239</v>
      </c>
    </row>
    <row r="179" spans="1:5" ht="15.75" customHeight="1">
      <c r="A179" s="38" t="s">
        <v>92</v>
      </c>
      <c r="B179" s="36">
        <v>1.8</v>
      </c>
      <c r="C179" s="36">
        <v>3</v>
      </c>
      <c r="D179" s="38">
        <v>25.3</v>
      </c>
      <c r="E179" s="41" t="s">
        <v>240</v>
      </c>
    </row>
    <row r="180" spans="1:5" ht="15.75" customHeight="1">
      <c r="A180" s="38" t="s">
        <v>94</v>
      </c>
      <c r="B180" s="36">
        <v>2</v>
      </c>
      <c r="C180" s="36">
        <v>3</v>
      </c>
      <c r="D180" s="38">
        <v>28.6</v>
      </c>
      <c r="E180" s="41" t="s">
        <v>241</v>
      </c>
    </row>
    <row r="181" spans="1:5" ht="15.75" customHeight="1">
      <c r="A181" s="38" t="s">
        <v>96</v>
      </c>
      <c r="B181" s="36">
        <v>2.2000000000000002</v>
      </c>
      <c r="C181" s="36">
        <v>3</v>
      </c>
      <c r="D181" s="38">
        <v>31.1</v>
      </c>
      <c r="E181" s="41" t="s">
        <v>242</v>
      </c>
    </row>
    <row r="182" spans="1:5" ht="15.75" customHeight="1">
      <c r="A182" s="38" t="s">
        <v>98</v>
      </c>
      <c r="B182" s="36">
        <v>2.4</v>
      </c>
      <c r="C182" s="36">
        <v>3</v>
      </c>
      <c r="D182" s="38">
        <v>34.299999999999997</v>
      </c>
      <c r="E182" s="41" t="s">
        <v>243</v>
      </c>
    </row>
    <row r="183" spans="1:5" ht="15.75" customHeight="1">
      <c r="A183" s="38" t="s">
        <v>100</v>
      </c>
      <c r="B183" s="36">
        <v>2.6</v>
      </c>
      <c r="C183" s="36">
        <v>3</v>
      </c>
      <c r="D183" s="38">
        <v>36.799999999999997</v>
      </c>
      <c r="E183" s="41" t="s">
        <v>244</v>
      </c>
    </row>
    <row r="184" spans="1:5" ht="15.75" customHeight="1">
      <c r="A184" s="38" t="s">
        <v>60</v>
      </c>
      <c r="B184" s="36">
        <v>2.8</v>
      </c>
      <c r="C184" s="36">
        <v>2.6</v>
      </c>
      <c r="D184" s="38">
        <v>33.4</v>
      </c>
      <c r="E184" s="41" t="s">
        <v>245</v>
      </c>
    </row>
    <row r="185" spans="1:5" ht="15.75" customHeight="1">
      <c r="A185" s="38" t="s">
        <v>63</v>
      </c>
      <c r="B185" s="36">
        <v>3</v>
      </c>
      <c r="C185" s="36">
        <v>2.6</v>
      </c>
      <c r="D185" s="38">
        <v>35.5</v>
      </c>
      <c r="E185" s="41" t="s">
        <v>246</v>
      </c>
    </row>
    <row r="186" spans="1:5" ht="15.75" customHeight="1">
      <c r="A186" s="38" t="s">
        <v>66</v>
      </c>
      <c r="B186" s="36">
        <v>3.2</v>
      </c>
      <c r="C186" s="36">
        <v>2.6</v>
      </c>
      <c r="D186" s="38">
        <v>37.6</v>
      </c>
      <c r="E186" s="41" t="s">
        <v>247</v>
      </c>
    </row>
    <row r="187" spans="1:5" ht="15.75" customHeight="1">
      <c r="A187" s="38" t="s">
        <v>69</v>
      </c>
      <c r="B187" s="36">
        <v>3.4</v>
      </c>
      <c r="C187" s="36">
        <v>2.6</v>
      </c>
      <c r="D187" s="38">
        <v>39.700000000000003</v>
      </c>
      <c r="E187" s="41" t="s">
        <v>248</v>
      </c>
    </row>
    <row r="188" spans="1:5" ht="15.75" customHeight="1">
      <c r="A188" s="38" t="s">
        <v>72</v>
      </c>
      <c r="B188" s="36">
        <v>3.6</v>
      </c>
      <c r="C188" s="36">
        <v>2.6</v>
      </c>
      <c r="D188" s="38">
        <v>41.8</v>
      </c>
      <c r="E188" s="41" t="s">
        <v>249</v>
      </c>
    </row>
    <row r="189" spans="1:5" ht="15.75" customHeight="1">
      <c r="A189" s="38" t="s">
        <v>75</v>
      </c>
      <c r="B189" s="36">
        <v>3.8</v>
      </c>
      <c r="C189" s="36">
        <v>2.6</v>
      </c>
      <c r="D189" s="38">
        <v>43.9</v>
      </c>
      <c r="E189" s="41" t="s">
        <v>250</v>
      </c>
    </row>
    <row r="190" spans="1:5" ht="15.75" customHeight="1">
      <c r="A190" s="38" t="s">
        <v>78</v>
      </c>
      <c r="B190" s="36">
        <v>4</v>
      </c>
      <c r="C190" s="36">
        <v>2.6</v>
      </c>
      <c r="D190" s="38">
        <v>46</v>
      </c>
      <c r="E190" s="41" t="s">
        <v>251</v>
      </c>
    </row>
    <row r="191" spans="1:5" ht="15.75" customHeight="1"/>
    <row r="192" spans="1:5" ht="15.75" customHeight="1">
      <c r="A192" s="53" t="s">
        <v>252</v>
      </c>
      <c r="D192" s="43"/>
      <c r="E192" s="43"/>
    </row>
    <row r="193" spans="1:5" ht="15.75" customHeight="1">
      <c r="A193" s="38" t="s">
        <v>128</v>
      </c>
      <c r="B193" s="36">
        <v>0.85</v>
      </c>
      <c r="C193" s="36">
        <v>3</v>
      </c>
      <c r="D193" s="41">
        <v>10.199999999999999</v>
      </c>
      <c r="E193" s="41" t="s">
        <v>253</v>
      </c>
    </row>
    <row r="194" spans="1:5" ht="15.75" customHeight="1">
      <c r="A194" s="38" t="s">
        <v>84</v>
      </c>
      <c r="B194" s="36">
        <v>1</v>
      </c>
      <c r="C194" s="36">
        <v>3</v>
      </c>
      <c r="D194" s="41">
        <v>11.6</v>
      </c>
      <c r="E194" s="41" t="s">
        <v>254</v>
      </c>
    </row>
    <row r="195" spans="1:5" ht="15.75" customHeight="1">
      <c r="A195" s="55" t="s">
        <v>86</v>
      </c>
      <c r="B195" s="36">
        <v>1.2</v>
      </c>
      <c r="C195" s="36">
        <v>3</v>
      </c>
      <c r="D195" s="55">
        <v>13.5</v>
      </c>
      <c r="E195" s="40" t="s">
        <v>255</v>
      </c>
    </row>
    <row r="196" spans="1:5" ht="15.75" customHeight="1">
      <c r="A196" s="38" t="s">
        <v>88</v>
      </c>
      <c r="B196" s="36">
        <v>1.4</v>
      </c>
      <c r="C196" s="36" t="s">
        <v>64</v>
      </c>
      <c r="D196" s="38">
        <v>15.3</v>
      </c>
      <c r="E196" s="41" t="s">
        <v>256</v>
      </c>
    </row>
    <row r="197" spans="1:5" ht="15.75" customHeight="1">
      <c r="A197" s="38" t="s">
        <v>90</v>
      </c>
      <c r="B197" s="36" t="s">
        <v>44</v>
      </c>
      <c r="C197" s="36" t="s">
        <v>64</v>
      </c>
      <c r="D197" s="38">
        <v>17.899999999999999</v>
      </c>
      <c r="E197" s="41" t="s">
        <v>257</v>
      </c>
    </row>
    <row r="198" spans="1:5" ht="15.75" customHeight="1">
      <c r="A198" s="38" t="s">
        <v>92</v>
      </c>
      <c r="B198" s="36" t="s">
        <v>47</v>
      </c>
      <c r="C198" s="36" t="s">
        <v>64</v>
      </c>
      <c r="D198" s="38">
        <v>19.8</v>
      </c>
      <c r="E198" s="41" t="s">
        <v>258</v>
      </c>
    </row>
    <row r="199" spans="1:5" ht="15.75" customHeight="1">
      <c r="A199" s="38" t="s">
        <v>94</v>
      </c>
      <c r="B199" s="36" t="s">
        <v>50</v>
      </c>
      <c r="C199" s="36" t="s">
        <v>64</v>
      </c>
      <c r="D199" s="38">
        <v>22.4</v>
      </c>
      <c r="E199" s="41" t="s">
        <v>259</v>
      </c>
    </row>
    <row r="200" spans="1:5" ht="15.75" customHeight="1">
      <c r="A200" s="38" t="s">
        <v>96</v>
      </c>
      <c r="B200" s="36" t="s">
        <v>53</v>
      </c>
      <c r="C200" s="36" t="s">
        <v>64</v>
      </c>
      <c r="D200" s="38">
        <v>24.3</v>
      </c>
      <c r="E200" s="41" t="s">
        <v>260</v>
      </c>
    </row>
    <row r="201" spans="1:5" ht="15.75" customHeight="1">
      <c r="A201" s="38" t="s">
        <v>98</v>
      </c>
      <c r="B201" s="36" t="s">
        <v>56</v>
      </c>
      <c r="C201" s="36" t="s">
        <v>64</v>
      </c>
      <c r="D201" s="38">
        <v>26.9</v>
      </c>
      <c r="E201" s="41" t="s">
        <v>261</v>
      </c>
    </row>
    <row r="202" spans="1:5" ht="15.75" customHeight="1">
      <c r="A202" s="38" t="s">
        <v>100</v>
      </c>
      <c r="B202" s="36" t="s">
        <v>41</v>
      </c>
      <c r="C202" s="36" t="s">
        <v>64</v>
      </c>
      <c r="D202" s="38">
        <v>28.8</v>
      </c>
      <c r="E202" s="41" t="s">
        <v>262</v>
      </c>
    </row>
    <row r="203" spans="1:5" ht="15.75" customHeight="1">
      <c r="A203" s="38" t="s">
        <v>60</v>
      </c>
      <c r="B203" s="36" t="s">
        <v>61</v>
      </c>
      <c r="C203" s="36" t="s">
        <v>41</v>
      </c>
      <c r="D203" s="38">
        <v>26.5</v>
      </c>
      <c r="E203" s="41" t="s">
        <v>263</v>
      </c>
    </row>
    <row r="204" spans="1:5" ht="15.75" customHeight="1">
      <c r="A204" s="38" t="s">
        <v>63</v>
      </c>
      <c r="B204" s="36" t="s">
        <v>64</v>
      </c>
      <c r="C204" s="36" t="s">
        <v>41</v>
      </c>
      <c r="D204" s="38">
        <v>28.1</v>
      </c>
      <c r="E204" s="41" t="s">
        <v>264</v>
      </c>
    </row>
    <row r="205" spans="1:5" ht="15.75" customHeight="1">
      <c r="A205" s="38" t="s">
        <v>66</v>
      </c>
      <c r="B205" s="36" t="s">
        <v>67</v>
      </c>
      <c r="C205" s="36" t="s">
        <v>41</v>
      </c>
      <c r="D205" s="38">
        <v>29.7</v>
      </c>
      <c r="E205" s="41" t="s">
        <v>265</v>
      </c>
    </row>
    <row r="206" spans="1:5" ht="15.75" customHeight="1">
      <c r="A206" s="38" t="s">
        <v>69</v>
      </c>
      <c r="B206" s="36" t="s">
        <v>70</v>
      </c>
      <c r="C206" s="36" t="s">
        <v>41</v>
      </c>
      <c r="D206" s="38">
        <v>31.3</v>
      </c>
      <c r="E206" s="41" t="s">
        <v>266</v>
      </c>
    </row>
    <row r="207" spans="1:5" ht="15.75" customHeight="1">
      <c r="A207" s="38" t="s">
        <v>72</v>
      </c>
      <c r="B207" s="36" t="s">
        <v>73</v>
      </c>
      <c r="C207" s="36" t="s">
        <v>41</v>
      </c>
      <c r="D207" s="38">
        <v>32.9</v>
      </c>
      <c r="E207" s="41" t="s">
        <v>267</v>
      </c>
    </row>
    <row r="208" spans="1:5" ht="15.75" customHeight="1">
      <c r="A208" s="38" t="s">
        <v>75</v>
      </c>
      <c r="B208" s="36" t="s">
        <v>76</v>
      </c>
      <c r="C208" s="36" t="s">
        <v>41</v>
      </c>
      <c r="D208" s="38">
        <v>34.6</v>
      </c>
      <c r="E208" s="41" t="s">
        <v>268</v>
      </c>
    </row>
    <row r="209" spans="1:5" ht="15.75" customHeight="1">
      <c r="A209" s="38" t="s">
        <v>78</v>
      </c>
      <c r="B209" s="36" t="s">
        <v>79</v>
      </c>
      <c r="C209" s="36" t="s">
        <v>41</v>
      </c>
      <c r="D209" s="38">
        <v>36.200000000000003</v>
      </c>
      <c r="E209" s="41" t="s">
        <v>269</v>
      </c>
    </row>
    <row r="210" spans="1:5" ht="15.75" customHeight="1"/>
    <row r="211" spans="1:5" ht="15.75" customHeight="1">
      <c r="A211" s="53" t="s">
        <v>270</v>
      </c>
      <c r="D211" s="43"/>
      <c r="E211" s="43"/>
    </row>
    <row r="212" spans="1:5" ht="15.75" customHeight="1">
      <c r="A212" s="38" t="s">
        <v>128</v>
      </c>
      <c r="B212" s="36">
        <v>0.85</v>
      </c>
      <c r="C212" s="36">
        <v>3</v>
      </c>
      <c r="D212" s="41">
        <v>7.6</v>
      </c>
      <c r="E212" s="41" t="s">
        <v>271</v>
      </c>
    </row>
    <row r="213" spans="1:5" ht="15.75" customHeight="1">
      <c r="A213" s="38" t="s">
        <v>84</v>
      </c>
      <c r="B213" s="36">
        <v>1</v>
      </c>
      <c r="C213" s="36">
        <v>3</v>
      </c>
      <c r="D213" s="41">
        <v>8.5</v>
      </c>
      <c r="E213" s="41" t="s">
        <v>272</v>
      </c>
    </row>
    <row r="214" spans="1:5" ht="15.75" customHeight="1">
      <c r="A214" s="55" t="s">
        <v>86</v>
      </c>
      <c r="B214" s="36">
        <v>1.2</v>
      </c>
      <c r="C214" s="36">
        <v>3</v>
      </c>
      <c r="D214" s="55">
        <v>9.8000000000000007</v>
      </c>
      <c r="E214" s="40" t="s">
        <v>273</v>
      </c>
    </row>
    <row r="215" spans="1:5" ht="15.75" customHeight="1">
      <c r="A215" s="38" t="s">
        <v>88</v>
      </c>
      <c r="B215" s="36" t="s">
        <v>40</v>
      </c>
      <c r="C215" s="36" t="s">
        <v>64</v>
      </c>
      <c r="D215" s="38">
        <v>11</v>
      </c>
      <c r="E215" s="41" t="s">
        <v>274</v>
      </c>
    </row>
    <row r="216" spans="1:5" ht="15.75" customHeight="1">
      <c r="A216" s="38" t="s">
        <v>90</v>
      </c>
      <c r="B216" s="36" t="s">
        <v>44</v>
      </c>
      <c r="C216" s="36" t="s">
        <v>64</v>
      </c>
      <c r="D216" s="38">
        <v>13</v>
      </c>
      <c r="E216" s="41" t="s">
        <v>275</v>
      </c>
    </row>
    <row r="217" spans="1:5" ht="15.75" customHeight="1">
      <c r="A217" s="38" t="s">
        <v>92</v>
      </c>
      <c r="B217" s="36" t="s">
        <v>47</v>
      </c>
      <c r="C217" s="36" t="s">
        <v>64</v>
      </c>
      <c r="D217" s="38">
        <v>14.2</v>
      </c>
      <c r="E217" s="41" t="s">
        <v>276</v>
      </c>
    </row>
    <row r="218" spans="1:5" ht="15.75" customHeight="1">
      <c r="A218" s="38" t="s">
        <v>94</v>
      </c>
      <c r="B218" s="36" t="s">
        <v>50</v>
      </c>
      <c r="C218" s="36" t="s">
        <v>64</v>
      </c>
      <c r="D218" s="38">
        <v>16.3</v>
      </c>
      <c r="E218" s="41" t="s">
        <v>277</v>
      </c>
    </row>
    <row r="219" spans="1:5" ht="15.75" customHeight="1">
      <c r="A219" s="38" t="s">
        <v>96</v>
      </c>
      <c r="B219" s="36" t="s">
        <v>53</v>
      </c>
      <c r="C219" s="36" t="s">
        <v>64</v>
      </c>
      <c r="D219" s="38">
        <v>17.5</v>
      </c>
      <c r="E219" s="41" t="s">
        <v>278</v>
      </c>
    </row>
    <row r="220" spans="1:5" ht="15.75" customHeight="1">
      <c r="A220" s="38" t="s">
        <v>98</v>
      </c>
      <c r="B220" s="36" t="s">
        <v>56</v>
      </c>
      <c r="C220" s="36" t="s">
        <v>64</v>
      </c>
      <c r="D220" s="38">
        <v>19.5</v>
      </c>
      <c r="E220" s="41" t="s">
        <v>279</v>
      </c>
    </row>
    <row r="221" spans="1:5" ht="15.75" customHeight="1">
      <c r="A221" s="38" t="s">
        <v>100</v>
      </c>
      <c r="B221" s="36" t="s">
        <v>41</v>
      </c>
      <c r="C221" s="36" t="s">
        <v>64</v>
      </c>
      <c r="D221" s="38">
        <v>20.7</v>
      </c>
      <c r="E221" s="41" t="s">
        <v>280</v>
      </c>
    </row>
    <row r="222" spans="1:5" ht="15.75" customHeight="1">
      <c r="A222" s="38" t="s">
        <v>60</v>
      </c>
      <c r="B222" s="36" t="s">
        <v>61</v>
      </c>
      <c r="C222" s="36" t="s">
        <v>41</v>
      </c>
      <c r="D222" s="38">
        <v>19.600000000000001</v>
      </c>
      <c r="E222" s="41" t="s">
        <v>281</v>
      </c>
    </row>
    <row r="223" spans="1:5" ht="15.75" customHeight="1">
      <c r="A223" s="38" t="s">
        <v>63</v>
      </c>
      <c r="B223" s="36" t="s">
        <v>64</v>
      </c>
      <c r="C223" s="36" t="s">
        <v>41</v>
      </c>
      <c r="D223" s="38">
        <v>20.7</v>
      </c>
      <c r="E223" s="41" t="s">
        <v>282</v>
      </c>
    </row>
    <row r="224" spans="1:5" ht="15.75" customHeight="1">
      <c r="A224" s="38" t="s">
        <v>66</v>
      </c>
      <c r="B224" s="36" t="s">
        <v>67</v>
      </c>
      <c r="C224" s="36" t="s">
        <v>41</v>
      </c>
      <c r="D224" s="38">
        <v>21.8</v>
      </c>
      <c r="E224" s="41" t="s">
        <v>283</v>
      </c>
    </row>
    <row r="225" spans="1:5" ht="15.75" customHeight="1">
      <c r="A225" s="38" t="s">
        <v>69</v>
      </c>
      <c r="B225" s="36" t="s">
        <v>70</v>
      </c>
      <c r="C225" s="36" t="s">
        <v>41</v>
      </c>
      <c r="D225" s="38">
        <v>23</v>
      </c>
      <c r="E225" s="41" t="s">
        <v>284</v>
      </c>
    </row>
    <row r="226" spans="1:5" ht="15.75" customHeight="1">
      <c r="A226" s="38" t="s">
        <v>72</v>
      </c>
      <c r="B226" s="36" t="s">
        <v>73</v>
      </c>
      <c r="C226" s="36" t="s">
        <v>41</v>
      </c>
      <c r="D226" s="38">
        <v>24.1</v>
      </c>
      <c r="E226" s="41" t="s">
        <v>285</v>
      </c>
    </row>
    <row r="227" spans="1:5" ht="15.75" customHeight="1">
      <c r="A227" s="38" t="s">
        <v>75</v>
      </c>
      <c r="B227" s="36" t="s">
        <v>76</v>
      </c>
      <c r="C227" s="36" t="s">
        <v>41</v>
      </c>
      <c r="D227" s="38">
        <v>25.2</v>
      </c>
      <c r="E227" s="41" t="s">
        <v>286</v>
      </c>
    </row>
    <row r="228" spans="1:5" ht="15.75" customHeight="1">
      <c r="A228" s="38" t="s">
        <v>78</v>
      </c>
      <c r="B228" s="36" t="s">
        <v>79</v>
      </c>
      <c r="C228" s="36" t="s">
        <v>41</v>
      </c>
      <c r="D228" s="38">
        <v>26.3</v>
      </c>
      <c r="E228" s="41" t="s">
        <v>287</v>
      </c>
    </row>
    <row r="229" spans="1:5" ht="15.75" customHeight="1"/>
    <row r="230" spans="1:5" ht="15.75" customHeight="1">
      <c r="A230" s="37" t="s">
        <v>288</v>
      </c>
    </row>
    <row r="231" spans="1:5" ht="15.75" customHeight="1">
      <c r="A231" s="54" t="s">
        <v>35</v>
      </c>
      <c r="B231" s="36">
        <v>1</v>
      </c>
      <c r="C231" s="36">
        <v>2.6</v>
      </c>
      <c r="D231" s="41">
        <v>31.3</v>
      </c>
      <c r="E231" s="41" t="s">
        <v>289</v>
      </c>
    </row>
    <row r="232" spans="1:5" ht="15.75" customHeight="1">
      <c r="A232" s="38" t="s">
        <v>37</v>
      </c>
      <c r="B232" s="36">
        <v>1.2</v>
      </c>
      <c r="C232" s="36">
        <v>2.6</v>
      </c>
      <c r="D232" s="55">
        <v>37.200000000000003</v>
      </c>
      <c r="E232" s="40" t="s">
        <v>290</v>
      </c>
    </row>
    <row r="233" spans="1:5" ht="15.75" customHeight="1">
      <c r="A233" s="38" t="s">
        <v>39</v>
      </c>
      <c r="B233" s="36" t="s">
        <v>40</v>
      </c>
      <c r="C233" s="36" t="s">
        <v>41</v>
      </c>
      <c r="D233" s="38">
        <v>43.1</v>
      </c>
      <c r="E233" s="41" t="s">
        <v>291</v>
      </c>
    </row>
    <row r="234" spans="1:5" ht="15.75" customHeight="1">
      <c r="A234" s="38" t="s">
        <v>43</v>
      </c>
      <c r="B234" s="36" t="s">
        <v>44</v>
      </c>
      <c r="C234" s="36" t="s">
        <v>41</v>
      </c>
      <c r="D234" s="38">
        <v>49.6</v>
      </c>
      <c r="E234" s="41" t="s">
        <v>292</v>
      </c>
    </row>
    <row r="235" spans="1:5" ht="15.75" customHeight="1">
      <c r="A235" s="38" t="s">
        <v>46</v>
      </c>
      <c r="B235" s="36" t="s">
        <v>47</v>
      </c>
      <c r="C235" s="36" t="s">
        <v>41</v>
      </c>
      <c r="D235" s="38">
        <v>55.5</v>
      </c>
      <c r="E235" s="41" t="s">
        <v>293</v>
      </c>
    </row>
    <row r="236" spans="1:5" ht="15.75" customHeight="1">
      <c r="A236" s="38" t="s">
        <v>49</v>
      </c>
      <c r="B236" s="36" t="s">
        <v>50</v>
      </c>
      <c r="C236" s="36" t="s">
        <v>41</v>
      </c>
      <c r="D236" s="38">
        <v>62</v>
      </c>
      <c r="E236" s="41" t="s">
        <v>294</v>
      </c>
    </row>
    <row r="237" spans="1:5" ht="15.75" customHeight="1">
      <c r="A237" s="38" t="s">
        <v>52</v>
      </c>
      <c r="B237" s="36" t="s">
        <v>53</v>
      </c>
      <c r="C237" s="36" t="s">
        <v>41</v>
      </c>
      <c r="D237" s="38">
        <v>68.5</v>
      </c>
      <c r="E237" s="41" t="s">
        <v>295</v>
      </c>
    </row>
    <row r="238" spans="1:5" ht="15.75" customHeight="1">
      <c r="A238" s="38" t="s">
        <v>55</v>
      </c>
      <c r="B238" s="36" t="s">
        <v>56</v>
      </c>
      <c r="C238" s="36" t="s">
        <v>41</v>
      </c>
      <c r="D238" s="38">
        <v>74.400000000000006</v>
      </c>
      <c r="E238" s="41" t="s">
        <v>296</v>
      </c>
    </row>
    <row r="239" spans="1:5" ht="15.75" customHeight="1">
      <c r="A239" s="38" t="s">
        <v>58</v>
      </c>
      <c r="B239" s="36" t="s">
        <v>41</v>
      </c>
      <c r="C239" s="36" t="s">
        <v>41</v>
      </c>
      <c r="D239" s="38">
        <v>80.3</v>
      </c>
      <c r="E239" s="41" t="s">
        <v>297</v>
      </c>
    </row>
    <row r="240" spans="1:5" ht="15.75" customHeight="1">
      <c r="A240" s="38" t="s">
        <v>60</v>
      </c>
      <c r="B240" s="36" t="s">
        <v>61</v>
      </c>
      <c r="C240" s="36" t="s">
        <v>41</v>
      </c>
      <c r="D240" s="38">
        <v>86.1</v>
      </c>
      <c r="E240" s="41" t="s">
        <v>298</v>
      </c>
    </row>
    <row r="241" spans="1:5" ht="15.75" customHeight="1">
      <c r="A241" s="38" t="s">
        <v>63</v>
      </c>
      <c r="B241" s="36" t="s">
        <v>64</v>
      </c>
      <c r="C241" s="36" t="s">
        <v>41</v>
      </c>
      <c r="D241" s="38">
        <v>92</v>
      </c>
      <c r="E241" s="41" t="s">
        <v>299</v>
      </c>
    </row>
    <row r="242" spans="1:5" ht="15.75" customHeight="1">
      <c r="A242" s="38" t="s">
        <v>66</v>
      </c>
      <c r="B242" s="36" t="s">
        <v>67</v>
      </c>
      <c r="C242" s="36" t="s">
        <v>41</v>
      </c>
      <c r="D242" s="38">
        <v>97.8</v>
      </c>
      <c r="E242" s="41" t="s">
        <v>300</v>
      </c>
    </row>
    <row r="243" spans="1:5" ht="15.75" customHeight="1">
      <c r="A243" s="38" t="s">
        <v>69</v>
      </c>
      <c r="B243" s="36" t="s">
        <v>70</v>
      </c>
      <c r="C243" s="36" t="s">
        <v>41</v>
      </c>
      <c r="D243" s="38">
        <v>103.7</v>
      </c>
      <c r="E243" s="41" t="s">
        <v>301</v>
      </c>
    </row>
    <row r="244" spans="1:5" ht="15.75" customHeight="1">
      <c r="A244" s="38" t="s">
        <v>72</v>
      </c>
      <c r="B244" s="36" t="s">
        <v>73</v>
      </c>
      <c r="C244" s="36" t="s">
        <v>41</v>
      </c>
      <c r="D244" s="38">
        <v>109.6</v>
      </c>
      <c r="E244" s="41" t="s">
        <v>302</v>
      </c>
    </row>
    <row r="245" spans="1:5" ht="15.75" customHeight="1">
      <c r="A245" s="38" t="s">
        <v>75</v>
      </c>
      <c r="B245" s="36" t="s">
        <v>76</v>
      </c>
      <c r="C245" s="36" t="s">
        <v>41</v>
      </c>
      <c r="D245" s="38">
        <v>115.4</v>
      </c>
      <c r="E245" s="41" t="s">
        <v>303</v>
      </c>
    </row>
    <row r="246" spans="1:5" ht="15.75" customHeight="1">
      <c r="A246" s="38" t="s">
        <v>78</v>
      </c>
      <c r="B246" s="36" t="s">
        <v>79</v>
      </c>
      <c r="C246" s="36" t="s">
        <v>41</v>
      </c>
      <c r="D246" s="38">
        <v>121.3</v>
      </c>
      <c r="E246" s="41" t="s">
        <v>304</v>
      </c>
    </row>
    <row r="247" spans="1:5" ht="15.75" customHeight="1"/>
    <row r="248" spans="1:5" ht="15.75" customHeight="1">
      <c r="A248" s="37" t="s">
        <v>305</v>
      </c>
    </row>
    <row r="249" spans="1:5" ht="15.75" customHeight="1">
      <c r="A249" s="38" t="s">
        <v>84</v>
      </c>
      <c r="B249" s="36">
        <v>1</v>
      </c>
      <c r="C249" s="36">
        <v>3</v>
      </c>
      <c r="D249" s="41">
        <v>29</v>
      </c>
      <c r="E249" s="41" t="s">
        <v>306</v>
      </c>
    </row>
    <row r="250" spans="1:5" ht="15.75" customHeight="1">
      <c r="A250" s="55" t="s">
        <v>86</v>
      </c>
      <c r="B250" s="36">
        <v>1.2</v>
      </c>
      <c r="C250" s="36">
        <v>3</v>
      </c>
      <c r="D250" s="55">
        <v>34.299999999999997</v>
      </c>
      <c r="E250" s="40" t="s">
        <v>307</v>
      </c>
    </row>
    <row r="251" spans="1:5" ht="15.75" customHeight="1">
      <c r="A251" s="38" t="s">
        <v>88</v>
      </c>
      <c r="B251" s="36" t="s">
        <v>40</v>
      </c>
      <c r="C251" s="36" t="s">
        <v>64</v>
      </c>
      <c r="D251" s="38">
        <v>39.6</v>
      </c>
      <c r="E251" s="41" t="s">
        <v>308</v>
      </c>
    </row>
    <row r="252" spans="1:5" ht="15.75" customHeight="1">
      <c r="A252" s="38" t="s">
        <v>90</v>
      </c>
      <c r="B252" s="36" t="s">
        <v>44</v>
      </c>
      <c r="C252" s="36" t="s">
        <v>64</v>
      </c>
      <c r="D252" s="38">
        <v>45.8</v>
      </c>
      <c r="E252" s="41" t="s">
        <v>309</v>
      </c>
    </row>
    <row r="253" spans="1:5" ht="15.75" customHeight="1">
      <c r="A253" s="38" t="s">
        <v>92</v>
      </c>
      <c r="B253" s="36" t="s">
        <v>47</v>
      </c>
      <c r="C253" s="36" t="s">
        <v>64</v>
      </c>
      <c r="D253" s="38">
        <v>51.1</v>
      </c>
      <c r="E253" s="41" t="s">
        <v>310</v>
      </c>
    </row>
    <row r="254" spans="1:5" ht="15.75" customHeight="1">
      <c r="A254" s="38" t="s">
        <v>94</v>
      </c>
      <c r="B254" s="36" t="s">
        <v>50</v>
      </c>
      <c r="C254" s="36" t="s">
        <v>64</v>
      </c>
      <c r="D254" s="38">
        <v>57.2</v>
      </c>
      <c r="E254" s="41" t="s">
        <v>311</v>
      </c>
    </row>
    <row r="255" spans="1:5" ht="15.75" customHeight="1">
      <c r="A255" s="38" t="s">
        <v>96</v>
      </c>
      <c r="B255" s="36" t="s">
        <v>53</v>
      </c>
      <c r="C255" s="36" t="s">
        <v>64</v>
      </c>
      <c r="D255" s="38">
        <v>62.5</v>
      </c>
      <c r="E255" s="41" t="s">
        <v>312</v>
      </c>
    </row>
    <row r="256" spans="1:5" ht="15.75" customHeight="1">
      <c r="A256" s="38" t="s">
        <v>98</v>
      </c>
      <c r="B256" s="36" t="s">
        <v>56</v>
      </c>
      <c r="C256" s="36" t="s">
        <v>64</v>
      </c>
      <c r="D256" s="38">
        <v>68.599999999999994</v>
      </c>
      <c r="E256" s="41" t="s">
        <v>313</v>
      </c>
    </row>
    <row r="257" spans="1:5" ht="15.75" customHeight="1">
      <c r="A257" s="38" t="s">
        <v>100</v>
      </c>
      <c r="B257" s="36" t="s">
        <v>41</v>
      </c>
      <c r="C257" s="36" t="s">
        <v>64</v>
      </c>
      <c r="D257" s="38">
        <v>74</v>
      </c>
      <c r="E257" s="41" t="s">
        <v>314</v>
      </c>
    </row>
    <row r="258" spans="1:5" ht="15.75" customHeight="1">
      <c r="A258" s="38" t="s">
        <v>60</v>
      </c>
      <c r="B258" s="36" t="s">
        <v>61</v>
      </c>
      <c r="C258" s="36" t="s">
        <v>41</v>
      </c>
      <c r="D258" s="38">
        <v>68.7</v>
      </c>
      <c r="E258" s="41" t="s">
        <v>315</v>
      </c>
    </row>
    <row r="259" spans="1:5" ht="15.75" customHeight="1">
      <c r="A259" s="38" t="s">
        <v>63</v>
      </c>
      <c r="B259" s="36" t="s">
        <v>64</v>
      </c>
      <c r="C259" s="36" t="s">
        <v>41</v>
      </c>
      <c r="D259" s="38">
        <v>73.3</v>
      </c>
      <c r="E259" s="41" t="s">
        <v>316</v>
      </c>
    </row>
    <row r="260" spans="1:5" ht="15.75" customHeight="1">
      <c r="A260" s="38" t="s">
        <v>66</v>
      </c>
      <c r="B260" s="36" t="s">
        <v>67</v>
      </c>
      <c r="C260" s="36" t="s">
        <v>41</v>
      </c>
      <c r="D260" s="38">
        <v>78</v>
      </c>
      <c r="E260" s="41" t="s">
        <v>317</v>
      </c>
    </row>
    <row r="261" spans="1:5" ht="15.75" customHeight="1">
      <c r="A261" s="38" t="s">
        <v>69</v>
      </c>
      <c r="B261" s="36" t="s">
        <v>70</v>
      </c>
      <c r="C261" s="36" t="s">
        <v>41</v>
      </c>
      <c r="D261" s="38">
        <v>82.6</v>
      </c>
      <c r="E261" s="41" t="s">
        <v>318</v>
      </c>
    </row>
    <row r="262" spans="1:5" ht="15.75" customHeight="1">
      <c r="A262" s="38" t="s">
        <v>72</v>
      </c>
      <c r="B262" s="36" t="s">
        <v>73</v>
      </c>
      <c r="C262" s="36" t="s">
        <v>41</v>
      </c>
      <c r="D262" s="38">
        <v>87.2</v>
      </c>
      <c r="E262" s="41" t="s">
        <v>319</v>
      </c>
    </row>
    <row r="263" spans="1:5" ht="15.75" customHeight="1">
      <c r="A263" s="38" t="s">
        <v>75</v>
      </c>
      <c r="B263" s="36" t="s">
        <v>76</v>
      </c>
      <c r="C263" s="36" t="s">
        <v>41</v>
      </c>
      <c r="D263" s="38">
        <v>91.8</v>
      </c>
      <c r="E263" s="41" t="s">
        <v>320</v>
      </c>
    </row>
    <row r="264" spans="1:5" ht="15.75" customHeight="1">
      <c r="A264" s="38" t="s">
        <v>78</v>
      </c>
      <c r="B264" s="36" t="s">
        <v>79</v>
      </c>
      <c r="C264" s="36" t="s">
        <v>41</v>
      </c>
      <c r="D264" s="38">
        <v>96.4</v>
      </c>
      <c r="E264" s="41" t="s">
        <v>321</v>
      </c>
    </row>
    <row r="265" spans="1:5" ht="15.75" customHeight="1"/>
    <row r="266" spans="1:5" ht="15.75" customHeight="1">
      <c r="A266" s="37" t="s">
        <v>322</v>
      </c>
    </row>
    <row r="267" spans="1:5" ht="15.75" customHeight="1">
      <c r="A267" s="38" t="s">
        <v>84</v>
      </c>
      <c r="B267" s="36">
        <v>1</v>
      </c>
      <c r="C267" s="36">
        <v>3</v>
      </c>
      <c r="D267" s="41">
        <v>23.7</v>
      </c>
      <c r="E267" s="41" t="s">
        <v>323</v>
      </c>
    </row>
    <row r="268" spans="1:5" ht="15.75" customHeight="1">
      <c r="A268" s="55" t="s">
        <v>86</v>
      </c>
      <c r="B268" s="36">
        <v>1.2</v>
      </c>
      <c r="C268" s="36">
        <v>3</v>
      </c>
      <c r="D268" s="55">
        <v>27.9</v>
      </c>
      <c r="E268" s="40" t="s">
        <v>324</v>
      </c>
    </row>
    <row r="269" spans="1:5" ht="15.75" customHeight="1">
      <c r="A269" s="38" t="s">
        <v>88</v>
      </c>
      <c r="B269" s="36" t="s">
        <v>40</v>
      </c>
      <c r="C269" s="36" t="s">
        <v>64</v>
      </c>
      <c r="D269" s="38">
        <v>32.200000000000003</v>
      </c>
      <c r="E269" s="41" t="s">
        <v>325</v>
      </c>
    </row>
    <row r="270" spans="1:5" ht="15.75" customHeight="1">
      <c r="A270" s="38" t="s">
        <v>90</v>
      </c>
      <c r="B270" s="36" t="s">
        <v>44</v>
      </c>
      <c r="C270" s="36" t="s">
        <v>64</v>
      </c>
      <c r="D270" s="38">
        <v>37.200000000000003</v>
      </c>
      <c r="E270" s="41" t="s">
        <v>326</v>
      </c>
    </row>
    <row r="271" spans="1:5" ht="15.75" customHeight="1">
      <c r="A271" s="38" t="s">
        <v>92</v>
      </c>
      <c r="B271" s="36" t="s">
        <v>47</v>
      </c>
      <c r="C271" s="36" t="s">
        <v>64</v>
      </c>
      <c r="D271" s="38">
        <v>41.5</v>
      </c>
      <c r="E271" s="41" t="s">
        <v>327</v>
      </c>
    </row>
    <row r="272" spans="1:5" ht="15.75" customHeight="1">
      <c r="A272" s="38" t="s">
        <v>94</v>
      </c>
      <c r="B272" s="36" t="s">
        <v>50</v>
      </c>
      <c r="C272" s="36" t="s">
        <v>64</v>
      </c>
      <c r="D272" s="38">
        <v>46.5</v>
      </c>
      <c r="E272" s="41" t="s">
        <v>328</v>
      </c>
    </row>
    <row r="273" spans="1:5" ht="15.75" customHeight="1">
      <c r="A273" s="38" t="s">
        <v>96</v>
      </c>
      <c r="B273" s="36" t="s">
        <v>53</v>
      </c>
      <c r="C273" s="36" t="s">
        <v>64</v>
      </c>
      <c r="D273" s="38">
        <v>50.8</v>
      </c>
      <c r="E273" s="41" t="s">
        <v>329</v>
      </c>
    </row>
    <row r="274" spans="1:5" ht="15.75" customHeight="1">
      <c r="A274" s="38" t="s">
        <v>98</v>
      </c>
      <c r="B274" s="36" t="s">
        <v>56</v>
      </c>
      <c r="C274" s="36" t="s">
        <v>64</v>
      </c>
      <c r="D274" s="38">
        <v>55.8</v>
      </c>
      <c r="E274" s="41" t="s">
        <v>330</v>
      </c>
    </row>
    <row r="275" spans="1:5" ht="15.75" customHeight="1">
      <c r="A275" s="38" t="s">
        <v>100</v>
      </c>
      <c r="B275" s="36" t="s">
        <v>41</v>
      </c>
      <c r="C275" s="36" t="s">
        <v>64</v>
      </c>
      <c r="D275" s="38">
        <v>60.1</v>
      </c>
      <c r="E275" s="41" t="s">
        <v>331</v>
      </c>
    </row>
    <row r="276" spans="1:5" ht="15.75" customHeight="1">
      <c r="A276" s="38" t="s">
        <v>60</v>
      </c>
      <c r="B276" s="36" t="s">
        <v>61</v>
      </c>
      <c r="C276" s="36" t="s">
        <v>41</v>
      </c>
      <c r="D276" s="38">
        <v>53.8</v>
      </c>
      <c r="E276" s="41" t="s">
        <v>332</v>
      </c>
    </row>
    <row r="277" spans="1:5" ht="15.75" customHeight="1">
      <c r="A277" s="38" t="s">
        <v>63</v>
      </c>
      <c r="B277" s="36" t="s">
        <v>64</v>
      </c>
      <c r="C277" s="36" t="s">
        <v>41</v>
      </c>
      <c r="D277" s="38">
        <v>57.4</v>
      </c>
      <c r="E277" s="41" t="s">
        <v>333</v>
      </c>
    </row>
    <row r="278" spans="1:5" ht="15.75" customHeight="1">
      <c r="A278" s="38" t="s">
        <v>66</v>
      </c>
      <c r="B278" s="36" t="s">
        <v>67</v>
      </c>
      <c r="C278" s="36" t="s">
        <v>41</v>
      </c>
      <c r="D278" s="38">
        <v>60.9</v>
      </c>
      <c r="E278" s="41" t="s">
        <v>334</v>
      </c>
    </row>
    <row r="279" spans="1:5" ht="15.75" customHeight="1">
      <c r="A279" s="38" t="s">
        <v>69</v>
      </c>
      <c r="B279" s="36" t="s">
        <v>70</v>
      </c>
      <c r="C279" s="36" t="s">
        <v>41</v>
      </c>
      <c r="D279" s="38">
        <v>64.5</v>
      </c>
      <c r="E279" s="41" t="s">
        <v>335</v>
      </c>
    </row>
    <row r="280" spans="1:5" ht="15.75" customHeight="1">
      <c r="A280" s="38" t="s">
        <v>72</v>
      </c>
      <c r="B280" s="36" t="s">
        <v>73</v>
      </c>
      <c r="C280" s="36" t="s">
        <v>41</v>
      </c>
      <c r="D280" s="38">
        <v>68</v>
      </c>
      <c r="E280" s="41" t="s">
        <v>336</v>
      </c>
    </row>
    <row r="281" spans="1:5" ht="15.75" customHeight="1">
      <c r="A281" s="38" t="s">
        <v>75</v>
      </c>
      <c r="B281" s="36" t="s">
        <v>76</v>
      </c>
      <c r="C281" s="36" t="s">
        <v>41</v>
      </c>
      <c r="D281" s="38">
        <v>71.599999999999994</v>
      </c>
      <c r="E281" s="41" t="s">
        <v>337</v>
      </c>
    </row>
    <row r="282" spans="1:5" ht="15.75" customHeight="1">
      <c r="A282" s="38" t="s">
        <v>78</v>
      </c>
      <c r="B282" s="36" t="s">
        <v>79</v>
      </c>
      <c r="C282" s="36" t="s">
        <v>41</v>
      </c>
      <c r="D282" s="38">
        <v>75.099999999999994</v>
      </c>
      <c r="E282" s="41" t="s">
        <v>338</v>
      </c>
    </row>
    <row r="283" spans="1:5" ht="15.75" customHeight="1"/>
    <row r="284" spans="1:5" ht="15.75" customHeight="1">
      <c r="A284" s="37" t="s">
        <v>339</v>
      </c>
    </row>
    <row r="285" spans="1:5" ht="15.75" customHeight="1">
      <c r="A285" s="38" t="s">
        <v>84</v>
      </c>
      <c r="B285" s="36">
        <v>1</v>
      </c>
      <c r="C285" s="36">
        <v>3</v>
      </c>
      <c r="D285" s="41">
        <v>20.100000000000001</v>
      </c>
      <c r="E285" s="41" t="s">
        <v>340</v>
      </c>
    </row>
    <row r="286" spans="1:5" ht="15.75" customHeight="1">
      <c r="A286" s="55" t="s">
        <v>86</v>
      </c>
      <c r="B286" s="36">
        <v>1.2</v>
      </c>
      <c r="C286" s="36">
        <v>3</v>
      </c>
      <c r="D286" s="55">
        <v>23.7</v>
      </c>
      <c r="E286" s="40" t="s">
        <v>341</v>
      </c>
    </row>
    <row r="287" spans="1:5" ht="15.75" customHeight="1">
      <c r="A287" s="38" t="s">
        <v>88</v>
      </c>
      <c r="B287" s="36" t="s">
        <v>40</v>
      </c>
      <c r="C287" s="36" t="s">
        <v>64</v>
      </c>
      <c r="D287" s="38">
        <v>27.2</v>
      </c>
      <c r="E287" s="41" t="s">
        <v>342</v>
      </c>
    </row>
    <row r="288" spans="1:5" ht="15.75" customHeight="1">
      <c r="A288" s="38" t="s">
        <v>90</v>
      </c>
      <c r="B288" s="36" t="s">
        <v>44</v>
      </c>
      <c r="C288" s="36" t="s">
        <v>64</v>
      </c>
      <c r="D288" s="38">
        <v>31.5</v>
      </c>
      <c r="E288" s="41" t="s">
        <v>343</v>
      </c>
    </row>
    <row r="289" spans="1:5" ht="15.75" customHeight="1">
      <c r="A289" s="38" t="s">
        <v>92</v>
      </c>
      <c r="B289" s="36" t="s">
        <v>47</v>
      </c>
      <c r="C289" s="36" t="s">
        <v>64</v>
      </c>
      <c r="D289" s="38">
        <v>35.1</v>
      </c>
      <c r="E289" s="41" t="s">
        <v>344</v>
      </c>
    </row>
    <row r="290" spans="1:5" ht="15.75" customHeight="1">
      <c r="A290" s="38" t="s">
        <v>94</v>
      </c>
      <c r="B290" s="36" t="s">
        <v>50</v>
      </c>
      <c r="C290" s="36" t="s">
        <v>64</v>
      </c>
      <c r="D290" s="38">
        <v>39.4</v>
      </c>
      <c r="E290" s="41" t="s">
        <v>345</v>
      </c>
    </row>
    <row r="291" spans="1:5" ht="15.75" customHeight="1">
      <c r="A291" s="38" t="s">
        <v>96</v>
      </c>
      <c r="B291" s="36" t="s">
        <v>53</v>
      </c>
      <c r="C291" s="36" t="s">
        <v>64</v>
      </c>
      <c r="D291" s="38">
        <v>43</v>
      </c>
      <c r="E291" s="41" t="s">
        <v>242</v>
      </c>
    </row>
    <row r="292" spans="1:5" ht="15.75" customHeight="1">
      <c r="A292" s="38" t="s">
        <v>98</v>
      </c>
      <c r="B292" s="36" t="s">
        <v>56</v>
      </c>
      <c r="C292" s="36" t="s">
        <v>64</v>
      </c>
      <c r="D292" s="38">
        <v>47.3</v>
      </c>
      <c r="E292" s="41" t="s">
        <v>346</v>
      </c>
    </row>
    <row r="293" spans="1:5" ht="15.75" customHeight="1">
      <c r="A293" s="38" t="s">
        <v>100</v>
      </c>
      <c r="B293" s="36" t="s">
        <v>41</v>
      </c>
      <c r="C293" s="36" t="s">
        <v>64</v>
      </c>
      <c r="D293" s="38">
        <v>50.9</v>
      </c>
      <c r="E293" s="41" t="s">
        <v>347</v>
      </c>
    </row>
    <row r="294" spans="1:5" ht="15.75" customHeight="1">
      <c r="A294" s="38" t="s">
        <v>60</v>
      </c>
      <c r="B294" s="36" t="s">
        <v>61</v>
      </c>
      <c r="C294" s="36" t="s">
        <v>41</v>
      </c>
      <c r="D294" s="38">
        <v>46.3</v>
      </c>
      <c r="E294" s="41" t="s">
        <v>348</v>
      </c>
    </row>
    <row r="295" spans="1:5" ht="15.75" customHeight="1">
      <c r="A295" s="38" t="s">
        <v>63</v>
      </c>
      <c r="B295" s="36" t="s">
        <v>64</v>
      </c>
      <c r="C295" s="36" t="s">
        <v>41</v>
      </c>
      <c r="D295" s="38">
        <v>49.4</v>
      </c>
      <c r="E295" s="41" t="s">
        <v>349</v>
      </c>
    </row>
    <row r="296" spans="1:5" ht="15.75" customHeight="1">
      <c r="A296" s="38" t="s">
        <v>66</v>
      </c>
      <c r="B296" s="36" t="s">
        <v>67</v>
      </c>
      <c r="C296" s="36" t="s">
        <v>41</v>
      </c>
      <c r="D296" s="38">
        <v>52.4</v>
      </c>
      <c r="E296" s="41" t="s">
        <v>350</v>
      </c>
    </row>
    <row r="297" spans="1:5" ht="15.75" customHeight="1">
      <c r="A297" s="38" t="s">
        <v>69</v>
      </c>
      <c r="B297" s="36" t="s">
        <v>70</v>
      </c>
      <c r="C297" s="36" t="s">
        <v>41</v>
      </c>
      <c r="D297" s="38">
        <v>55.4</v>
      </c>
      <c r="E297" s="41" t="s">
        <v>351</v>
      </c>
    </row>
    <row r="298" spans="1:5" ht="15.75" customHeight="1">
      <c r="A298" s="38" t="s">
        <v>72</v>
      </c>
      <c r="B298" s="36" t="s">
        <v>73</v>
      </c>
      <c r="C298" s="36" t="s">
        <v>41</v>
      </c>
      <c r="D298" s="38">
        <v>58.4</v>
      </c>
      <c r="E298" s="41" t="s">
        <v>352</v>
      </c>
    </row>
    <row r="299" spans="1:5" ht="15.75" customHeight="1">
      <c r="A299" s="38" t="s">
        <v>75</v>
      </c>
      <c r="B299" s="36" t="s">
        <v>76</v>
      </c>
      <c r="C299" s="36" t="s">
        <v>41</v>
      </c>
      <c r="D299" s="38">
        <v>61.4</v>
      </c>
      <c r="E299" s="41" t="s">
        <v>353</v>
      </c>
    </row>
    <row r="300" spans="1:5" ht="15.75" customHeight="1">
      <c r="A300" s="38" t="s">
        <v>78</v>
      </c>
      <c r="B300" s="36" t="s">
        <v>79</v>
      </c>
      <c r="C300" s="36" t="s">
        <v>41</v>
      </c>
      <c r="D300" s="38">
        <v>64.5</v>
      </c>
      <c r="E300" s="41" t="s">
        <v>354</v>
      </c>
    </row>
    <row r="301" spans="1:5" ht="15.75" customHeight="1"/>
    <row r="302" spans="1:5" ht="15.75" customHeight="1">
      <c r="A302" s="37" t="s">
        <v>355</v>
      </c>
    </row>
    <row r="303" spans="1:5" ht="15.75" customHeight="1">
      <c r="A303" s="38"/>
      <c r="D303" s="59"/>
      <c r="E303" s="41" t="s">
        <v>356</v>
      </c>
    </row>
    <row r="304" spans="1:5" ht="15.75" customHeight="1">
      <c r="A304" s="38" t="s">
        <v>84</v>
      </c>
      <c r="B304" s="36">
        <v>1</v>
      </c>
      <c r="C304" s="36">
        <v>3</v>
      </c>
      <c r="D304" s="41">
        <v>15.7</v>
      </c>
      <c r="E304" s="41" t="s">
        <v>357</v>
      </c>
    </row>
    <row r="305" spans="1:5" ht="15.75" customHeight="1">
      <c r="A305" s="55" t="s">
        <v>86</v>
      </c>
      <c r="B305" s="36">
        <v>1.2</v>
      </c>
      <c r="C305" s="36">
        <v>3</v>
      </c>
      <c r="D305" s="55">
        <v>18.3</v>
      </c>
      <c r="E305" s="40" t="s">
        <v>358</v>
      </c>
    </row>
    <row r="306" spans="1:5" ht="15.75" customHeight="1">
      <c r="A306" s="38" t="s">
        <v>88</v>
      </c>
      <c r="B306" s="36" t="s">
        <v>40</v>
      </c>
      <c r="C306" s="36" t="s">
        <v>64</v>
      </c>
      <c r="D306" s="38">
        <v>21</v>
      </c>
      <c r="E306" s="41" t="s">
        <v>359</v>
      </c>
    </row>
    <row r="307" spans="1:5" ht="15.75" customHeight="1">
      <c r="A307" s="38" t="s">
        <v>90</v>
      </c>
      <c r="B307" s="36" t="s">
        <v>44</v>
      </c>
      <c r="C307" s="36" t="s">
        <v>64</v>
      </c>
      <c r="D307" s="38">
        <v>24.4</v>
      </c>
      <c r="E307" s="41" t="s">
        <v>360</v>
      </c>
    </row>
    <row r="308" spans="1:5" ht="15.75" customHeight="1">
      <c r="A308" s="38" t="s">
        <v>92</v>
      </c>
      <c r="B308" s="36" t="s">
        <v>47</v>
      </c>
      <c r="C308" s="36" t="s">
        <v>64</v>
      </c>
      <c r="D308" s="38">
        <v>27.1</v>
      </c>
      <c r="E308" s="41" t="s">
        <v>361</v>
      </c>
    </row>
    <row r="309" spans="1:5" ht="15.75" customHeight="1">
      <c r="A309" s="38" t="s">
        <v>94</v>
      </c>
      <c r="B309" s="36" t="s">
        <v>50</v>
      </c>
      <c r="C309" s="36" t="s">
        <v>64</v>
      </c>
      <c r="D309" s="38">
        <v>30.6</v>
      </c>
      <c r="E309" s="41" t="s">
        <v>362</v>
      </c>
    </row>
    <row r="310" spans="1:5" ht="15.75" customHeight="1">
      <c r="A310" s="38" t="s">
        <v>96</v>
      </c>
      <c r="B310" s="36" t="s">
        <v>53</v>
      </c>
      <c r="C310" s="36" t="s">
        <v>64</v>
      </c>
      <c r="D310" s="38">
        <v>33.200000000000003</v>
      </c>
      <c r="E310" s="41" t="s">
        <v>363</v>
      </c>
    </row>
    <row r="311" spans="1:5" ht="15.75" customHeight="1">
      <c r="A311" s="38" t="s">
        <v>98</v>
      </c>
      <c r="B311" s="36" t="s">
        <v>56</v>
      </c>
      <c r="C311" s="36" t="s">
        <v>64</v>
      </c>
      <c r="D311" s="38">
        <v>36.700000000000003</v>
      </c>
      <c r="E311" s="41" t="s">
        <v>364</v>
      </c>
    </row>
    <row r="312" spans="1:5" ht="15.75" customHeight="1">
      <c r="A312" s="38" t="s">
        <v>100</v>
      </c>
      <c r="B312" s="36" t="s">
        <v>41</v>
      </c>
      <c r="C312" s="36" t="s">
        <v>64</v>
      </c>
      <c r="D312" s="38">
        <v>39.299999999999997</v>
      </c>
      <c r="E312" s="41" t="s">
        <v>365</v>
      </c>
    </row>
    <row r="313" spans="1:5" ht="15.75" customHeight="1">
      <c r="A313" s="38" t="s">
        <v>60</v>
      </c>
      <c r="B313" s="36" t="s">
        <v>61</v>
      </c>
      <c r="C313" s="36" t="s">
        <v>41</v>
      </c>
      <c r="D313" s="38">
        <v>36.4</v>
      </c>
      <c r="E313" s="41" t="s">
        <v>366</v>
      </c>
    </row>
    <row r="314" spans="1:5" ht="15.75" customHeight="1">
      <c r="A314" s="38" t="s">
        <v>63</v>
      </c>
      <c r="B314" s="36" t="s">
        <v>64</v>
      </c>
      <c r="C314" s="36" t="s">
        <v>41</v>
      </c>
      <c r="D314" s="38">
        <v>38.700000000000003</v>
      </c>
      <c r="E314" s="41" t="s">
        <v>367</v>
      </c>
    </row>
    <row r="315" spans="1:5" ht="15.75" customHeight="1">
      <c r="A315" s="38" t="s">
        <v>66</v>
      </c>
      <c r="B315" s="36" t="s">
        <v>67</v>
      </c>
      <c r="C315" s="36" t="s">
        <v>41</v>
      </c>
      <c r="D315" s="38">
        <v>41</v>
      </c>
      <c r="E315" s="41" t="s">
        <v>368</v>
      </c>
    </row>
    <row r="316" spans="1:5" ht="15.75" customHeight="1">
      <c r="A316" s="38" t="s">
        <v>69</v>
      </c>
      <c r="B316" s="36" t="s">
        <v>70</v>
      </c>
      <c r="C316" s="36" t="s">
        <v>41</v>
      </c>
      <c r="D316" s="38">
        <v>43.3</v>
      </c>
      <c r="E316" s="41" t="s">
        <v>369</v>
      </c>
    </row>
    <row r="317" spans="1:5" ht="15.75" customHeight="1">
      <c r="A317" s="38" t="s">
        <v>72</v>
      </c>
      <c r="B317" s="36" t="s">
        <v>73</v>
      </c>
      <c r="C317" s="36" t="s">
        <v>41</v>
      </c>
      <c r="D317" s="38">
        <v>45.6</v>
      </c>
      <c r="E317" s="41" t="s">
        <v>370</v>
      </c>
    </row>
    <row r="318" spans="1:5" ht="15.75" customHeight="1">
      <c r="A318" s="38" t="s">
        <v>75</v>
      </c>
      <c r="B318" s="36" t="s">
        <v>76</v>
      </c>
      <c r="C318" s="36" t="s">
        <v>41</v>
      </c>
      <c r="D318" s="38">
        <v>47.9</v>
      </c>
      <c r="E318" s="41" t="s">
        <v>371</v>
      </c>
    </row>
    <row r="319" spans="1:5" ht="15.75" customHeight="1">
      <c r="A319" s="38" t="s">
        <v>78</v>
      </c>
      <c r="B319" s="36" t="s">
        <v>79</v>
      </c>
      <c r="C319" s="36" t="s">
        <v>41</v>
      </c>
      <c r="D319" s="38">
        <v>50.2</v>
      </c>
      <c r="E319" s="41" t="s">
        <v>372</v>
      </c>
    </row>
    <row r="320" spans="1:5" ht="15.75" customHeight="1"/>
    <row r="321" spans="1:5" ht="15.75" customHeight="1">
      <c r="A321" s="37" t="s">
        <v>373</v>
      </c>
    </row>
    <row r="322" spans="1:5" ht="15.75" customHeight="1">
      <c r="A322" s="38" t="s">
        <v>84</v>
      </c>
      <c r="B322" s="36">
        <v>1</v>
      </c>
      <c r="C322" s="36">
        <v>3</v>
      </c>
      <c r="D322" s="41">
        <v>11.2</v>
      </c>
      <c r="E322" s="41" t="s">
        <v>374</v>
      </c>
    </row>
    <row r="323" spans="1:5" ht="15.75" customHeight="1">
      <c r="A323" s="55" t="s">
        <v>86</v>
      </c>
      <c r="B323" s="36">
        <v>1.2</v>
      </c>
      <c r="C323" s="36">
        <v>3</v>
      </c>
      <c r="D323" s="55">
        <v>13</v>
      </c>
      <c r="E323" s="40" t="s">
        <v>375</v>
      </c>
    </row>
    <row r="324" spans="1:5" ht="15.75" customHeight="1">
      <c r="A324" s="38" t="s">
        <v>88</v>
      </c>
      <c r="B324" s="36" t="s">
        <v>40</v>
      </c>
      <c r="C324" s="36" t="s">
        <v>64</v>
      </c>
      <c r="D324" s="38">
        <v>14.8</v>
      </c>
      <c r="E324" s="41" t="s">
        <v>376</v>
      </c>
    </row>
    <row r="325" spans="1:5" ht="15.75" customHeight="1">
      <c r="A325" s="38" t="s">
        <v>90</v>
      </c>
      <c r="B325" s="36" t="s">
        <v>44</v>
      </c>
      <c r="C325" s="36" t="s">
        <v>64</v>
      </c>
      <c r="D325" s="38">
        <v>17.3</v>
      </c>
      <c r="E325" s="41" t="s">
        <v>377</v>
      </c>
    </row>
    <row r="326" spans="1:5" ht="15.75" customHeight="1">
      <c r="A326" s="38" t="s">
        <v>92</v>
      </c>
      <c r="B326" s="36" t="s">
        <v>47</v>
      </c>
      <c r="C326" s="36" t="s">
        <v>64</v>
      </c>
      <c r="D326" s="38">
        <v>19.100000000000001</v>
      </c>
      <c r="E326" s="41" t="s">
        <v>378</v>
      </c>
    </row>
    <row r="327" spans="1:5" ht="15.75" customHeight="1">
      <c r="A327" s="38" t="s">
        <v>94</v>
      </c>
      <c r="B327" s="36" t="s">
        <v>50</v>
      </c>
      <c r="C327" s="36" t="s">
        <v>64</v>
      </c>
      <c r="D327" s="38">
        <v>21.7</v>
      </c>
      <c r="E327" s="41" t="s">
        <v>379</v>
      </c>
    </row>
    <row r="328" spans="1:5" ht="15.75" customHeight="1">
      <c r="A328" s="38" t="s">
        <v>96</v>
      </c>
      <c r="B328" s="36" t="s">
        <v>53</v>
      </c>
      <c r="C328" s="36" t="s">
        <v>64</v>
      </c>
      <c r="D328" s="38">
        <v>23.5</v>
      </c>
      <c r="E328" s="41" t="s">
        <v>380</v>
      </c>
    </row>
    <row r="329" spans="1:5" ht="15.75" customHeight="1">
      <c r="A329" s="38" t="s">
        <v>98</v>
      </c>
      <c r="B329" s="36" t="s">
        <v>56</v>
      </c>
      <c r="C329" s="36" t="s">
        <v>64</v>
      </c>
      <c r="D329" s="38">
        <v>26</v>
      </c>
      <c r="E329" s="41" t="s">
        <v>381</v>
      </c>
    </row>
    <row r="330" spans="1:5" ht="15.75" customHeight="1">
      <c r="A330" s="38" t="s">
        <v>100</v>
      </c>
      <c r="B330" s="36" t="s">
        <v>41</v>
      </c>
      <c r="C330" s="36" t="s">
        <v>64</v>
      </c>
      <c r="D330" s="38">
        <v>27.8</v>
      </c>
      <c r="E330" s="41" t="s">
        <v>382</v>
      </c>
    </row>
    <row r="331" spans="1:5" ht="15.75" customHeight="1">
      <c r="A331" s="38" t="s">
        <v>60</v>
      </c>
      <c r="B331" s="36" t="s">
        <v>61</v>
      </c>
      <c r="C331" s="36" t="s">
        <v>41</v>
      </c>
      <c r="D331" s="38">
        <v>26.4</v>
      </c>
      <c r="E331" s="41" t="s">
        <v>383</v>
      </c>
    </row>
    <row r="332" spans="1:5" ht="15.75" customHeight="1">
      <c r="A332" s="38" t="s">
        <v>63</v>
      </c>
      <c r="B332" s="36" t="s">
        <v>64</v>
      </c>
      <c r="C332" s="36" t="s">
        <v>41</v>
      </c>
      <c r="D332" s="38">
        <v>28</v>
      </c>
      <c r="E332" s="41" t="s">
        <v>384</v>
      </c>
    </row>
    <row r="333" spans="1:5" ht="15.75" customHeight="1">
      <c r="A333" s="38" t="s">
        <v>66</v>
      </c>
      <c r="B333" s="36" t="s">
        <v>67</v>
      </c>
      <c r="C333" s="36" t="s">
        <v>41</v>
      </c>
      <c r="D333" s="38">
        <v>29.6</v>
      </c>
      <c r="E333" s="41" t="s">
        <v>385</v>
      </c>
    </row>
    <row r="334" spans="1:5" ht="15.75" customHeight="1">
      <c r="A334" s="38" t="s">
        <v>69</v>
      </c>
      <c r="B334" s="36" t="s">
        <v>70</v>
      </c>
      <c r="C334" s="36" t="s">
        <v>41</v>
      </c>
      <c r="D334" s="38">
        <v>31.2</v>
      </c>
      <c r="E334" s="41" t="s">
        <v>386</v>
      </c>
    </row>
    <row r="335" spans="1:5" ht="15.75" customHeight="1">
      <c r="A335" s="38" t="s">
        <v>72</v>
      </c>
      <c r="B335" s="36" t="s">
        <v>73</v>
      </c>
      <c r="C335" s="36" t="s">
        <v>41</v>
      </c>
      <c r="D335" s="38">
        <v>32.799999999999997</v>
      </c>
      <c r="E335" s="41" t="s">
        <v>387</v>
      </c>
    </row>
    <row r="336" spans="1:5" ht="15.75" customHeight="1">
      <c r="A336" s="38" t="s">
        <v>75</v>
      </c>
      <c r="B336" s="36" t="s">
        <v>76</v>
      </c>
      <c r="C336" s="36" t="s">
        <v>41</v>
      </c>
      <c r="D336" s="38">
        <v>34.4</v>
      </c>
      <c r="E336" s="41" t="s">
        <v>388</v>
      </c>
    </row>
    <row r="337" spans="1:5" ht="15.75" customHeight="1">
      <c r="A337" s="38" t="s">
        <v>78</v>
      </c>
      <c r="B337" s="36" t="s">
        <v>79</v>
      </c>
      <c r="C337" s="36" t="s">
        <v>41</v>
      </c>
      <c r="D337" s="38">
        <v>36</v>
      </c>
      <c r="E337" s="41" t="s">
        <v>389</v>
      </c>
    </row>
    <row r="338" spans="1:5" ht="15.75" customHeight="1"/>
    <row r="339" spans="1:5" ht="15.75" customHeight="1">
      <c r="A339" s="37" t="s">
        <v>390</v>
      </c>
    </row>
    <row r="340" spans="1:5" ht="15.75" customHeight="1">
      <c r="A340" s="55" t="s">
        <v>86</v>
      </c>
      <c r="B340" s="36">
        <v>1.2</v>
      </c>
      <c r="C340" s="36">
        <v>3</v>
      </c>
      <c r="D340" s="55">
        <v>45.9</v>
      </c>
      <c r="E340" s="40" t="s">
        <v>391</v>
      </c>
    </row>
    <row r="341" spans="1:5" ht="15.75" customHeight="1">
      <c r="A341" s="38" t="s">
        <v>88</v>
      </c>
      <c r="B341" s="36" t="s">
        <v>40</v>
      </c>
      <c r="C341" s="36" t="s">
        <v>64</v>
      </c>
      <c r="D341" s="38">
        <v>53.2</v>
      </c>
      <c r="E341" s="41" t="s">
        <v>392</v>
      </c>
    </row>
    <row r="342" spans="1:5" ht="15.75" customHeight="1">
      <c r="A342" s="38" t="s">
        <v>90</v>
      </c>
      <c r="B342" s="36" t="s">
        <v>44</v>
      </c>
      <c r="C342" s="36" t="s">
        <v>64</v>
      </c>
      <c r="D342" s="38">
        <v>61.2</v>
      </c>
      <c r="E342" s="41" t="s">
        <v>393</v>
      </c>
    </row>
    <row r="343" spans="1:5" ht="15.75" customHeight="1">
      <c r="A343" s="38" t="s">
        <v>92</v>
      </c>
      <c r="B343" s="36" t="s">
        <v>47</v>
      </c>
      <c r="C343" s="36" t="s">
        <v>64</v>
      </c>
      <c r="D343" s="38">
        <v>68.5</v>
      </c>
      <c r="E343" s="41" t="s">
        <v>394</v>
      </c>
    </row>
    <row r="344" spans="1:5" ht="15.75" customHeight="1">
      <c r="A344" s="38" t="s">
        <v>94</v>
      </c>
      <c r="B344" s="36" t="s">
        <v>50</v>
      </c>
      <c r="C344" s="36" t="s">
        <v>64</v>
      </c>
      <c r="D344" s="38">
        <v>76.5</v>
      </c>
      <c r="E344" s="41" t="s">
        <v>395</v>
      </c>
    </row>
    <row r="345" spans="1:5" ht="15.75" customHeight="1">
      <c r="A345" s="38" t="s">
        <v>96</v>
      </c>
      <c r="B345" s="36" t="s">
        <v>53</v>
      </c>
      <c r="C345" s="36" t="s">
        <v>64</v>
      </c>
      <c r="D345" s="38">
        <v>83.8</v>
      </c>
      <c r="E345" s="41" t="s">
        <v>396</v>
      </c>
    </row>
    <row r="346" spans="1:5" ht="15.75" customHeight="1">
      <c r="A346" s="38" t="s">
        <v>98</v>
      </c>
      <c r="B346" s="36" t="s">
        <v>56</v>
      </c>
      <c r="C346" s="36" t="s">
        <v>64</v>
      </c>
      <c r="D346" s="38">
        <v>91.8</v>
      </c>
      <c r="E346" s="41" t="s">
        <v>397</v>
      </c>
    </row>
    <row r="347" spans="1:5" ht="15.75" customHeight="1">
      <c r="A347" s="38" t="s">
        <v>100</v>
      </c>
      <c r="B347" s="36" t="s">
        <v>41</v>
      </c>
      <c r="C347" s="36" t="s">
        <v>64</v>
      </c>
      <c r="D347" s="38">
        <v>99.1</v>
      </c>
      <c r="E347" s="41" t="s">
        <v>398</v>
      </c>
    </row>
    <row r="348" spans="1:5" ht="15.75" customHeight="1">
      <c r="A348" s="38" t="s">
        <v>60</v>
      </c>
      <c r="B348" s="36" t="s">
        <v>61</v>
      </c>
      <c r="C348" s="36" t="s">
        <v>41</v>
      </c>
      <c r="D348" s="38">
        <v>92.2</v>
      </c>
      <c r="E348" s="41" t="s">
        <v>399</v>
      </c>
    </row>
    <row r="349" spans="1:5" ht="15.75" customHeight="1">
      <c r="A349" s="38" t="s">
        <v>63</v>
      </c>
      <c r="B349" s="36" t="s">
        <v>64</v>
      </c>
      <c r="C349" s="36" t="s">
        <v>41</v>
      </c>
      <c r="D349" s="38">
        <v>98.5</v>
      </c>
      <c r="E349" s="41" t="s">
        <v>400</v>
      </c>
    </row>
    <row r="350" spans="1:5" ht="15.75" customHeight="1">
      <c r="A350" s="38" t="s">
        <v>66</v>
      </c>
      <c r="B350" s="36" t="s">
        <v>67</v>
      </c>
      <c r="C350" s="36" t="s">
        <v>41</v>
      </c>
      <c r="D350" s="38">
        <v>104.7</v>
      </c>
      <c r="E350" s="41" t="s">
        <v>401</v>
      </c>
    </row>
    <row r="351" spans="1:5" ht="15.75" customHeight="1">
      <c r="A351" s="38" t="s">
        <v>69</v>
      </c>
      <c r="B351" s="36" t="s">
        <v>70</v>
      </c>
      <c r="C351" s="36" t="s">
        <v>41</v>
      </c>
      <c r="D351" s="38">
        <v>111</v>
      </c>
      <c r="E351" s="41" t="s">
        <v>402</v>
      </c>
    </row>
    <row r="352" spans="1:5" ht="15.75" customHeight="1">
      <c r="A352" s="38" t="s">
        <v>72</v>
      </c>
      <c r="B352" s="36" t="s">
        <v>73</v>
      </c>
      <c r="C352" s="36" t="s">
        <v>41</v>
      </c>
      <c r="D352" s="38">
        <v>117.3</v>
      </c>
      <c r="E352" s="41" t="s">
        <v>403</v>
      </c>
    </row>
    <row r="353" spans="1:5" ht="15.75" customHeight="1">
      <c r="A353" s="38" t="s">
        <v>75</v>
      </c>
      <c r="B353" s="36" t="s">
        <v>76</v>
      </c>
      <c r="C353" s="36" t="s">
        <v>41</v>
      </c>
      <c r="D353" s="38">
        <v>123.6</v>
      </c>
      <c r="E353" s="41" t="s">
        <v>404</v>
      </c>
    </row>
    <row r="354" spans="1:5" ht="15.75" customHeight="1">
      <c r="A354" s="38" t="s">
        <v>78</v>
      </c>
      <c r="B354" s="36" t="s">
        <v>79</v>
      </c>
      <c r="C354" s="36" t="s">
        <v>41</v>
      </c>
      <c r="D354" s="38">
        <v>129.9</v>
      </c>
      <c r="E354" s="41" t="s">
        <v>405</v>
      </c>
    </row>
    <row r="355" spans="1:5" ht="15.75" customHeight="1"/>
    <row r="356" spans="1:5" ht="15.75" customHeight="1">
      <c r="A356" s="37" t="s">
        <v>406</v>
      </c>
    </row>
    <row r="357" spans="1:5" ht="15.75" customHeight="1">
      <c r="A357" s="55" t="s">
        <v>86</v>
      </c>
      <c r="B357" s="36">
        <v>1.2</v>
      </c>
      <c r="C357" s="36">
        <v>3</v>
      </c>
      <c r="D357" s="55">
        <v>37.200000000000003</v>
      </c>
      <c r="E357" s="40" t="s">
        <v>407</v>
      </c>
    </row>
    <row r="358" spans="1:5" ht="15.75" customHeight="1">
      <c r="A358" s="38" t="s">
        <v>88</v>
      </c>
      <c r="B358" s="36" t="s">
        <v>40</v>
      </c>
      <c r="C358" s="36" t="s">
        <v>64</v>
      </c>
      <c r="D358" s="38">
        <v>43</v>
      </c>
      <c r="E358" s="41" t="s">
        <v>408</v>
      </c>
    </row>
    <row r="359" spans="1:5" ht="15.75" customHeight="1">
      <c r="A359" s="38" t="s">
        <v>90</v>
      </c>
      <c r="B359" s="36" t="s">
        <v>44</v>
      </c>
      <c r="C359" s="36" t="s">
        <v>64</v>
      </c>
      <c r="D359" s="38">
        <v>49.6</v>
      </c>
      <c r="E359" s="41" t="s">
        <v>409</v>
      </c>
    </row>
    <row r="360" spans="1:5" ht="15.75" customHeight="1">
      <c r="A360" s="38" t="s">
        <v>92</v>
      </c>
      <c r="B360" s="36" t="s">
        <v>47</v>
      </c>
      <c r="C360" s="36" t="s">
        <v>64</v>
      </c>
      <c r="D360" s="38">
        <v>55.4</v>
      </c>
      <c r="E360" s="41" t="s">
        <v>410</v>
      </c>
    </row>
    <row r="361" spans="1:5" ht="15.75" customHeight="1">
      <c r="A361" s="38" t="s">
        <v>94</v>
      </c>
      <c r="B361" s="36" t="s">
        <v>50</v>
      </c>
      <c r="C361" s="36" t="s">
        <v>64</v>
      </c>
      <c r="D361" s="38">
        <v>62</v>
      </c>
      <c r="E361" s="41" t="s">
        <v>411</v>
      </c>
    </row>
    <row r="362" spans="1:5" ht="15.75" customHeight="1">
      <c r="A362" s="38" t="s">
        <v>96</v>
      </c>
      <c r="B362" s="36" t="s">
        <v>53</v>
      </c>
      <c r="C362" s="36" t="s">
        <v>64</v>
      </c>
      <c r="D362" s="38">
        <v>67.8</v>
      </c>
      <c r="E362" s="41" t="s">
        <v>412</v>
      </c>
    </row>
    <row r="363" spans="1:5" ht="15.75" customHeight="1">
      <c r="A363" s="38" t="s">
        <v>98</v>
      </c>
      <c r="B363" s="36" t="s">
        <v>56</v>
      </c>
      <c r="C363" s="36" t="s">
        <v>64</v>
      </c>
      <c r="D363" s="38">
        <v>74.400000000000006</v>
      </c>
      <c r="E363" s="41" t="s">
        <v>413</v>
      </c>
    </row>
    <row r="364" spans="1:5" ht="15.75" customHeight="1">
      <c r="A364" s="38" t="s">
        <v>100</v>
      </c>
      <c r="B364" s="36" t="s">
        <v>41</v>
      </c>
      <c r="C364" s="36" t="s">
        <v>64</v>
      </c>
      <c r="D364" s="38">
        <v>80.2</v>
      </c>
      <c r="E364" s="41" t="s">
        <v>414</v>
      </c>
    </row>
    <row r="365" spans="1:5" ht="15.75" customHeight="1">
      <c r="A365" s="38" t="s">
        <v>60</v>
      </c>
      <c r="B365" s="36" t="s">
        <v>61</v>
      </c>
      <c r="C365" s="36" t="s">
        <v>41</v>
      </c>
      <c r="D365" s="38">
        <v>75.2</v>
      </c>
      <c r="E365" s="41" t="s">
        <v>415</v>
      </c>
    </row>
    <row r="366" spans="1:5" ht="15.75" customHeight="1">
      <c r="A366" s="38" t="s">
        <v>63</v>
      </c>
      <c r="B366" s="36" t="s">
        <v>64</v>
      </c>
      <c r="C366" s="36" t="s">
        <v>41</v>
      </c>
      <c r="D366" s="38">
        <v>80.3</v>
      </c>
      <c r="E366" s="41" t="s">
        <v>416</v>
      </c>
    </row>
    <row r="367" spans="1:5" ht="15.75" customHeight="1">
      <c r="A367" s="38" t="s">
        <v>66</v>
      </c>
      <c r="B367" s="36" t="s">
        <v>67</v>
      </c>
      <c r="C367" s="36" t="s">
        <v>41</v>
      </c>
      <c r="D367" s="38">
        <v>85.4</v>
      </c>
      <c r="E367" s="41" t="s">
        <v>417</v>
      </c>
    </row>
    <row r="368" spans="1:5" ht="15.75" customHeight="1">
      <c r="A368" s="38" t="s">
        <v>69</v>
      </c>
      <c r="B368" s="36" t="s">
        <v>70</v>
      </c>
      <c r="C368" s="36" t="s">
        <v>41</v>
      </c>
      <c r="D368" s="38">
        <v>90.5</v>
      </c>
      <c r="E368" s="41" t="s">
        <v>418</v>
      </c>
    </row>
    <row r="369" spans="1:5" ht="15.75" customHeight="1">
      <c r="A369" s="38" t="s">
        <v>72</v>
      </c>
      <c r="B369" s="36" t="s">
        <v>73</v>
      </c>
      <c r="C369" s="36" t="s">
        <v>41</v>
      </c>
      <c r="D369" s="38">
        <v>95.5</v>
      </c>
      <c r="E369" s="41" t="s">
        <v>419</v>
      </c>
    </row>
    <row r="370" spans="1:5" ht="15.75" customHeight="1">
      <c r="A370" s="38" t="s">
        <v>75</v>
      </c>
      <c r="B370" s="36" t="s">
        <v>76</v>
      </c>
      <c r="C370" s="36" t="s">
        <v>41</v>
      </c>
      <c r="D370" s="38">
        <v>100.6</v>
      </c>
      <c r="E370" s="41" t="s">
        <v>420</v>
      </c>
    </row>
    <row r="371" spans="1:5" ht="15.75" customHeight="1">
      <c r="A371" s="38" t="s">
        <v>78</v>
      </c>
      <c r="B371" s="36" t="s">
        <v>79</v>
      </c>
      <c r="C371" s="36" t="s">
        <v>41</v>
      </c>
      <c r="D371" s="38">
        <v>105.7</v>
      </c>
      <c r="E371" s="41" t="s">
        <v>421</v>
      </c>
    </row>
    <row r="372" spans="1:5" ht="15.75" customHeight="1"/>
    <row r="373" spans="1:5" ht="15.75" customHeight="1">
      <c r="A373" s="111" t="s">
        <v>422</v>
      </c>
      <c r="B373" s="112"/>
      <c r="C373" s="112"/>
    </row>
    <row r="374" spans="1:5" ht="15.75" customHeight="1">
      <c r="A374" s="55" t="s">
        <v>86</v>
      </c>
      <c r="B374" s="36">
        <v>1.2</v>
      </c>
      <c r="C374" s="36">
        <v>3</v>
      </c>
      <c r="D374" s="55">
        <v>31.4</v>
      </c>
      <c r="E374" s="40" t="s">
        <v>423</v>
      </c>
    </row>
    <row r="375" spans="1:5" ht="15.75" customHeight="1">
      <c r="A375" s="38" t="s">
        <v>88</v>
      </c>
      <c r="B375" s="36" t="s">
        <v>40</v>
      </c>
      <c r="C375" s="36" t="s">
        <v>64</v>
      </c>
      <c r="D375" s="38">
        <v>36.200000000000003</v>
      </c>
      <c r="E375" s="41" t="s">
        <v>424</v>
      </c>
    </row>
    <row r="376" spans="1:5" ht="15.75" customHeight="1">
      <c r="A376" s="38" t="s">
        <v>90</v>
      </c>
      <c r="B376" s="36" t="s">
        <v>44</v>
      </c>
      <c r="C376" s="36" t="s">
        <v>64</v>
      </c>
      <c r="D376" s="38">
        <v>41.9</v>
      </c>
      <c r="E376" s="41" t="s">
        <v>425</v>
      </c>
    </row>
    <row r="377" spans="1:5" ht="15.75" customHeight="1">
      <c r="A377" s="38" t="s">
        <v>92</v>
      </c>
      <c r="B377" s="36" t="s">
        <v>47</v>
      </c>
      <c r="C377" s="36" t="s">
        <v>64</v>
      </c>
      <c r="D377" s="38">
        <v>46.7</v>
      </c>
      <c r="E377" s="41" t="s">
        <v>426</v>
      </c>
    </row>
    <row r="378" spans="1:5" ht="15.75" customHeight="1">
      <c r="A378" s="38" t="s">
        <v>94</v>
      </c>
      <c r="B378" s="36" t="s">
        <v>50</v>
      </c>
      <c r="C378" s="36" t="s">
        <v>64</v>
      </c>
      <c r="D378" s="38">
        <v>52.3</v>
      </c>
      <c r="E378" s="41" t="s">
        <v>427</v>
      </c>
    </row>
    <row r="379" spans="1:5" ht="15.75" customHeight="1">
      <c r="A379" s="38" t="s">
        <v>96</v>
      </c>
      <c r="B379" s="36" t="s">
        <v>53</v>
      </c>
      <c r="C379" s="36" t="s">
        <v>64</v>
      </c>
      <c r="D379" s="38">
        <v>57.2</v>
      </c>
      <c r="E379" s="41" t="s">
        <v>428</v>
      </c>
    </row>
    <row r="380" spans="1:5" ht="15.75" customHeight="1">
      <c r="A380" s="38" t="s">
        <v>98</v>
      </c>
      <c r="B380" s="36" t="s">
        <v>56</v>
      </c>
      <c r="C380" s="36" t="s">
        <v>64</v>
      </c>
      <c r="D380" s="38">
        <v>62.8</v>
      </c>
      <c r="E380" s="41" t="s">
        <v>429</v>
      </c>
    </row>
    <row r="381" spans="1:5" ht="15.75" customHeight="1">
      <c r="A381" s="38" t="s">
        <v>100</v>
      </c>
      <c r="B381" s="36" t="s">
        <v>41</v>
      </c>
      <c r="C381" s="36" t="s">
        <v>64</v>
      </c>
      <c r="D381" s="38">
        <v>67.599999999999994</v>
      </c>
      <c r="E381" s="41" t="s">
        <v>430</v>
      </c>
    </row>
    <row r="382" spans="1:5" ht="15.75" customHeight="1">
      <c r="A382" s="38" t="s">
        <v>60</v>
      </c>
      <c r="B382" s="36" t="s">
        <v>61</v>
      </c>
      <c r="C382" s="36" t="s">
        <v>41</v>
      </c>
      <c r="D382" s="38">
        <v>61.7</v>
      </c>
      <c r="E382" s="41" t="s">
        <v>431</v>
      </c>
    </row>
    <row r="383" spans="1:5" ht="15.75" customHeight="1">
      <c r="A383" s="38" t="s">
        <v>63</v>
      </c>
      <c r="B383" s="36" t="s">
        <v>64</v>
      </c>
      <c r="C383" s="36" t="s">
        <v>41</v>
      </c>
      <c r="D383" s="38">
        <v>65.8</v>
      </c>
      <c r="E383" s="41" t="s">
        <v>432</v>
      </c>
    </row>
    <row r="384" spans="1:5" ht="15.75" customHeight="1">
      <c r="A384" s="38" t="s">
        <v>66</v>
      </c>
      <c r="B384" s="36" t="s">
        <v>67</v>
      </c>
      <c r="C384" s="36" t="s">
        <v>41</v>
      </c>
      <c r="D384" s="38">
        <v>69.900000000000006</v>
      </c>
      <c r="E384" s="41" t="s">
        <v>433</v>
      </c>
    </row>
    <row r="385" spans="1:5" ht="15.75" customHeight="1">
      <c r="A385" s="38" t="s">
        <v>69</v>
      </c>
      <c r="B385" s="36" t="s">
        <v>70</v>
      </c>
      <c r="C385" s="36" t="s">
        <v>41</v>
      </c>
      <c r="D385" s="38">
        <v>74</v>
      </c>
      <c r="E385" s="41" t="s">
        <v>434</v>
      </c>
    </row>
    <row r="386" spans="1:5" ht="15.75" customHeight="1">
      <c r="A386" s="38" t="s">
        <v>72</v>
      </c>
      <c r="B386" s="36" t="s">
        <v>73</v>
      </c>
      <c r="C386" s="36" t="s">
        <v>41</v>
      </c>
      <c r="D386" s="38">
        <v>78.099999999999994</v>
      </c>
      <c r="E386" s="41" t="s">
        <v>435</v>
      </c>
    </row>
    <row r="387" spans="1:5" ht="15.75" customHeight="1">
      <c r="A387" s="38" t="s">
        <v>75</v>
      </c>
      <c r="B387" s="36" t="s">
        <v>76</v>
      </c>
      <c r="C387" s="36" t="s">
        <v>41</v>
      </c>
      <c r="D387" s="38">
        <v>82.2</v>
      </c>
      <c r="E387" s="41" t="s">
        <v>436</v>
      </c>
    </row>
    <row r="388" spans="1:5" ht="15.75" customHeight="1">
      <c r="A388" s="38" t="s">
        <v>78</v>
      </c>
      <c r="B388" s="36" t="s">
        <v>79</v>
      </c>
      <c r="C388" s="36" t="s">
        <v>41</v>
      </c>
      <c r="D388" s="38">
        <v>86.4</v>
      </c>
      <c r="E388" s="41" t="s">
        <v>437</v>
      </c>
    </row>
    <row r="389" spans="1:5" ht="15.75" customHeight="1"/>
    <row r="390" spans="1:5" ht="15.75" customHeight="1"/>
    <row r="391" spans="1:5" ht="15.75" customHeight="1">
      <c r="A391" s="111" t="s">
        <v>438</v>
      </c>
      <c r="B391" s="112"/>
      <c r="C391" s="112"/>
    </row>
    <row r="392" spans="1:5" ht="15.75" customHeight="1">
      <c r="A392" s="55" t="s">
        <v>86</v>
      </c>
      <c r="B392" s="36">
        <v>1.2</v>
      </c>
      <c r="C392" s="36">
        <v>3</v>
      </c>
      <c r="D392" s="55">
        <v>24.1</v>
      </c>
      <c r="E392" s="40" t="s">
        <v>439</v>
      </c>
    </row>
    <row r="393" spans="1:5" ht="15.75" customHeight="1">
      <c r="A393" s="38" t="s">
        <v>88</v>
      </c>
      <c r="B393" s="36" t="s">
        <v>40</v>
      </c>
      <c r="C393" s="36" t="s">
        <v>64</v>
      </c>
      <c r="D393" s="38">
        <v>27.8</v>
      </c>
      <c r="E393" s="41" t="s">
        <v>440</v>
      </c>
    </row>
    <row r="394" spans="1:5" ht="15.75" customHeight="1">
      <c r="A394" s="38" t="s">
        <v>90</v>
      </c>
      <c r="B394" s="36" t="s">
        <v>44</v>
      </c>
      <c r="C394" s="36" t="s">
        <v>64</v>
      </c>
      <c r="D394" s="38">
        <v>32.200000000000003</v>
      </c>
      <c r="E394" s="41" t="s">
        <v>441</v>
      </c>
    </row>
    <row r="395" spans="1:5" ht="15.75" customHeight="1">
      <c r="A395" s="38" t="s">
        <v>92</v>
      </c>
      <c r="B395" s="36" t="s">
        <v>47</v>
      </c>
      <c r="C395" s="36" t="s">
        <v>64</v>
      </c>
      <c r="D395" s="38">
        <v>35.799999999999997</v>
      </c>
      <c r="E395" s="41" t="s">
        <v>442</v>
      </c>
    </row>
    <row r="396" spans="1:5" ht="15.75" customHeight="1">
      <c r="A396" s="38" t="s">
        <v>94</v>
      </c>
      <c r="B396" s="36" t="s">
        <v>50</v>
      </c>
      <c r="C396" s="36" t="s">
        <v>64</v>
      </c>
      <c r="D396" s="38">
        <v>40.200000000000003</v>
      </c>
      <c r="E396" s="41" t="s">
        <v>443</v>
      </c>
    </row>
    <row r="397" spans="1:5" ht="15.75" customHeight="1">
      <c r="A397" s="38" t="s">
        <v>96</v>
      </c>
      <c r="B397" s="36" t="s">
        <v>53</v>
      </c>
      <c r="C397" s="36" t="s">
        <v>64</v>
      </c>
      <c r="D397" s="38">
        <v>43.8</v>
      </c>
      <c r="E397" s="41" t="s">
        <v>444</v>
      </c>
    </row>
    <row r="398" spans="1:5" ht="15.75" customHeight="1">
      <c r="A398" s="38" t="s">
        <v>98</v>
      </c>
      <c r="B398" s="36" t="s">
        <v>56</v>
      </c>
      <c r="C398" s="36" t="s">
        <v>64</v>
      </c>
      <c r="D398" s="38">
        <v>48.3</v>
      </c>
      <c r="E398" s="41" t="s">
        <v>445</v>
      </c>
    </row>
    <row r="399" spans="1:5" ht="15.75" customHeight="1">
      <c r="A399" s="38" t="s">
        <v>100</v>
      </c>
      <c r="B399" s="36" t="s">
        <v>41</v>
      </c>
      <c r="C399" s="36" t="s">
        <v>64</v>
      </c>
      <c r="D399" s="38">
        <v>51.9</v>
      </c>
      <c r="E399" s="41" t="s">
        <v>446</v>
      </c>
    </row>
    <row r="400" spans="1:5" ht="15.75" customHeight="1">
      <c r="A400" s="38" t="s">
        <v>60</v>
      </c>
      <c r="B400" s="36" t="s">
        <v>61</v>
      </c>
      <c r="C400" s="36" t="s">
        <v>41</v>
      </c>
      <c r="D400" s="38">
        <v>48.1</v>
      </c>
      <c r="E400" s="41" t="s">
        <v>447</v>
      </c>
    </row>
    <row r="401" spans="1:5" ht="15.75" customHeight="1">
      <c r="A401" s="38" t="s">
        <v>63</v>
      </c>
      <c r="B401" s="36" t="s">
        <v>64</v>
      </c>
      <c r="C401" s="36" t="s">
        <v>41</v>
      </c>
      <c r="D401" s="38">
        <v>51.3</v>
      </c>
      <c r="E401" s="41" t="s">
        <v>448</v>
      </c>
    </row>
    <row r="402" spans="1:5" ht="15.75" customHeight="1">
      <c r="A402" s="38" t="s">
        <v>66</v>
      </c>
      <c r="B402" s="36" t="s">
        <v>67</v>
      </c>
      <c r="C402" s="36" t="s">
        <v>41</v>
      </c>
      <c r="D402" s="38">
        <v>54.4</v>
      </c>
      <c r="E402" s="41" t="s">
        <v>449</v>
      </c>
    </row>
    <row r="403" spans="1:5" ht="15.75" customHeight="1">
      <c r="A403" s="38" t="s">
        <v>69</v>
      </c>
      <c r="B403" s="36" t="s">
        <v>70</v>
      </c>
      <c r="C403" s="36" t="s">
        <v>41</v>
      </c>
      <c r="D403" s="38">
        <v>57.6</v>
      </c>
      <c r="E403" s="41" t="s">
        <v>450</v>
      </c>
    </row>
    <row r="404" spans="1:5" ht="15.75" customHeight="1">
      <c r="A404" s="38" t="s">
        <v>72</v>
      </c>
      <c r="B404" s="36" t="s">
        <v>73</v>
      </c>
      <c r="C404" s="36" t="s">
        <v>41</v>
      </c>
      <c r="D404" s="38">
        <v>60.7</v>
      </c>
      <c r="E404" s="41" t="s">
        <v>451</v>
      </c>
    </row>
    <row r="405" spans="1:5" ht="15.75" customHeight="1">
      <c r="A405" s="38" t="s">
        <v>75</v>
      </c>
      <c r="B405" s="36" t="s">
        <v>76</v>
      </c>
      <c r="C405" s="36" t="s">
        <v>41</v>
      </c>
      <c r="D405" s="38">
        <v>63.8</v>
      </c>
      <c r="E405" s="41" t="s">
        <v>452</v>
      </c>
    </row>
    <row r="406" spans="1:5" ht="15.75" customHeight="1">
      <c r="A406" s="38" t="s">
        <v>78</v>
      </c>
      <c r="B406" s="36" t="s">
        <v>79</v>
      </c>
      <c r="C406" s="36" t="s">
        <v>41</v>
      </c>
      <c r="D406" s="38">
        <v>67</v>
      </c>
      <c r="E406" s="41" t="s">
        <v>453</v>
      </c>
    </row>
    <row r="407" spans="1:5" ht="15.75" customHeight="1"/>
    <row r="408" spans="1:5" ht="15.75" customHeight="1"/>
    <row r="409" spans="1:5" ht="15.75" customHeight="1"/>
    <row r="410" spans="1:5" ht="15.75" customHeight="1"/>
    <row r="411" spans="1:5" ht="15.75" customHeight="1"/>
    <row r="412" spans="1:5" ht="15.75" customHeight="1"/>
    <row r="413" spans="1:5" ht="15.75" customHeight="1"/>
    <row r="414" spans="1:5" ht="15.75" customHeight="1"/>
    <row r="415" spans="1:5" ht="15.75" customHeight="1"/>
    <row r="416" spans="1:5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</sheetData>
  <mergeCells count="3">
    <mergeCell ref="A79:C79"/>
    <mergeCell ref="A373:C373"/>
    <mergeCell ref="A391:C391"/>
  </mergeCells>
  <pageMargins left="0.70833333333333304" right="0.70833333333333304" top="0.74791666666666701" bottom="0.74791666666666701" header="0.511811023622047" footer="0.511811023622047"/>
  <pageSetup paperSize="8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1</vt:lpstr>
      <vt:lpstr>ΜΑΝΔΥΕΣ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ARES</dc:creator>
  <cp:lastModifiedBy>Antiseismic PC</cp:lastModifiedBy>
  <cp:revision>0</cp:revision>
  <cp:lastPrinted>2025-11-27T09:47:37Z</cp:lastPrinted>
  <dcterms:created xsi:type="dcterms:W3CDTF">2018-02-27T16:32:25Z</dcterms:created>
  <dcterms:modified xsi:type="dcterms:W3CDTF">2026-03-11T07:14:46Z</dcterms:modified>
  <dc:language>en-US</dc:language>
</cp:coreProperties>
</file>